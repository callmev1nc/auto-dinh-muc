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Laptop\Desktop\Claude - Định mức NVL\"/>
    </mc:Choice>
  </mc:AlternateContent>
  <xr:revisionPtr revIDLastSave="0" documentId="13_ncr:1_{C056D618-3B52-4274-8329-D94F6E1E23CA}" xr6:coauthVersionLast="47" xr6:coauthVersionMax="47" xr10:uidLastSave="{00000000-0000-0000-0000-000000000000}"/>
  <bookViews>
    <workbookView xWindow="-108" yWindow="-108" windowWidth="23256" windowHeight="12456" tabRatio="928" activeTab="11" xr2:uid="{00000000-000D-0000-FFFF-FFFF00000000}"/>
  </bookViews>
  <sheets>
    <sheet name="In" sheetId="22" r:id="rId1"/>
    <sheet name="Tráng" sheetId="20" r:id="rId2"/>
    <sheet name="Dán" sheetId="21" r:id="rId3"/>
    <sheet name="Thổi" sheetId="16" r:id="rId4"/>
    <sheet name="May" sheetId="19" r:id="rId5"/>
    <sheet name="X" sheetId="42" r:id="rId6"/>
    <sheet name="Đóng gói 1" sheetId="40" r:id="rId7"/>
    <sheet name="May 1" sheetId="39" r:id="rId8"/>
    <sheet name="Thổi 1" sheetId="38" r:id="rId9"/>
    <sheet name="Dán 1" sheetId="37" r:id="rId10"/>
    <sheet name="Tráng 1" sheetId="36" r:id="rId11"/>
    <sheet name="Chia biên 1" sheetId="33" r:id="rId12"/>
    <sheet name="In 1" sheetId="32" r:id="rId13"/>
    <sheet name="Ghép 1" sheetId="34" state="hidden" r:id="rId14"/>
    <sheet name="Bồi 1" sheetId="35" state="hidden" r:id="rId15"/>
    <sheet name="XX" sheetId="41" r:id="rId16"/>
    <sheet name="In 2" sheetId="24" r:id="rId17"/>
    <sheet name="Chia biên 2" sheetId="25" r:id="rId18"/>
    <sheet name="Tráng 2" sheetId="27" r:id="rId19"/>
    <sheet name="Dán 2" sheetId="28" r:id="rId20"/>
    <sheet name="Thổi 2" sheetId="29" r:id="rId21"/>
    <sheet name="May 2" sheetId="30" r:id="rId22"/>
    <sheet name="Đóng gói 2" sheetId="31" r:id="rId23"/>
  </sheets>
  <externalReferences>
    <externalReference r:id="rId24"/>
  </externalReferences>
  <definedNames>
    <definedName name="_xlnm.Print_Area" localSheetId="14">'Bồi 1'!$A$1:$L$41</definedName>
    <definedName name="_xlnm.Print_Area" localSheetId="11">'Chia biên 1'!$A$1:$L$41</definedName>
    <definedName name="_xlnm.Print_Area" localSheetId="17">'Chia biên 2'!$A$1:$M$60</definedName>
    <definedName name="_xlnm.Print_Area" localSheetId="2">Dán!$A$1:$T$21</definedName>
    <definedName name="_xlnm.Print_Area" localSheetId="9">'Dán 1'!$A$1:$L$41</definedName>
    <definedName name="_xlnm.Print_Area" localSheetId="19">'Dán 2'!$A$1:$M$64</definedName>
    <definedName name="_xlnm.Print_Area" localSheetId="6">'Đóng gói 1'!$A$1:$L$41</definedName>
    <definedName name="_xlnm.Print_Area" localSheetId="22">'Đóng gói 2'!$A$1:$M$54</definedName>
    <definedName name="_xlnm.Print_Area" localSheetId="13">'Ghép 1'!$A$1:$L$41</definedName>
    <definedName name="_xlnm.Print_Area" localSheetId="0">In!$A$1:$T$31</definedName>
    <definedName name="_xlnm.Print_Area" localSheetId="12">'In 1'!$A$1:$L$41</definedName>
    <definedName name="_xlnm.Print_Area" localSheetId="16">'In 2'!$A$1:$M$71</definedName>
    <definedName name="_xlnm.Print_Area" localSheetId="4">May!$A$1:$T$24</definedName>
    <definedName name="_xlnm.Print_Area" localSheetId="7">'May 1'!$A$1:$L$41</definedName>
    <definedName name="_xlnm.Print_Area" localSheetId="21">'May 2'!$A$1:$M$60</definedName>
    <definedName name="_xlnm.Print_Area" localSheetId="3">Thổi!$A$1:$T$22</definedName>
    <definedName name="_xlnm.Print_Area" localSheetId="8">'Thổi 1'!$A$1:$L$41</definedName>
    <definedName name="_xlnm.Print_Area" localSheetId="20">'Thổi 2'!$A$1:$M$61</definedName>
    <definedName name="_xlnm.Print_Area" localSheetId="1">Tráng!$A$1:$T$24</definedName>
    <definedName name="_xlnm.Print_Area" localSheetId="10">'Tráng 1'!$A$1:$L$41</definedName>
    <definedName name="_xlnm.Print_Area" localSheetId="18">'Tráng 2'!$A$1:$Q$59</definedName>
    <definedName name="_xlnm.Print_Area" localSheetId="5">X!$A$1:$Q$56</definedName>
    <definedName name="_xlnm.Print_Area" localSheetId="15">XX!$A$1:$L$56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<sst xmlns="http://schemas.openxmlformats.org/spreadsheetml/2006/main" count="1679" uniqueCount="347">
  <si>
    <t>PHIẾU YẾU CẦU XUẤT KHO NGUYÊN VẬT LIỆU</t>
  </si>
  <si>
    <t>Mã số: PXK NVL</t>
  </si>
  <si>
    <t>Ngày ban hành: 8/1/2022</t>
  </si>
  <si>
    <t>Số phiếu:</t>
  </si>
  <si>
    <t>Tên khách hàng</t>
  </si>
  <si>
    <t>Thông tin</t>
  </si>
  <si>
    <t>ĐVT</t>
  </si>
  <si>
    <t>Thông số</t>
  </si>
  <si>
    <t>Bộ phận yêu cầu</t>
  </si>
  <si>
    <t>Bộ phận kho</t>
  </si>
  <si>
    <t>Tên sản phẩm</t>
  </si>
  <si>
    <t>Số lượng đặt</t>
  </si>
  <si>
    <t>bao</t>
  </si>
  <si>
    <t>Lập</t>
  </si>
  <si>
    <t>Duyệt</t>
  </si>
  <si>
    <t>Thủ kho</t>
  </si>
  <si>
    <t>Mã sản phẩm</t>
  </si>
  <si>
    <t>Chiều dài bao sx</t>
  </si>
  <si>
    <t>mét</t>
  </si>
  <si>
    <t>Số YCSX</t>
  </si>
  <si>
    <t>Chiều ngang + hông</t>
  </si>
  <si>
    <t>Số phiếu SX</t>
  </si>
  <si>
    <t>Số lượng in thực tế</t>
  </si>
  <si>
    <t>Phạm Thành Luân</t>
  </si>
  <si>
    <t>Số màu in</t>
  </si>
  <si>
    <t>màu</t>
  </si>
  <si>
    <t>Khổ mành</t>
  </si>
  <si>
    <t>Khổ màng</t>
  </si>
  <si>
    <t>Khổ giấy</t>
  </si>
  <si>
    <t>Khối lượng túi lồng</t>
  </si>
  <si>
    <t>kg</t>
  </si>
  <si>
    <t>Tổ sử dụng</t>
  </si>
  <si>
    <t>STT</t>
  </si>
  <si>
    <t>Tên NVL</t>
  </si>
  <si>
    <t>Mã NVL</t>
  </si>
  <si>
    <t>Đơn vị</t>
  </si>
  <si>
    <t>Số lượng yêu cầu</t>
  </si>
  <si>
    <t>Số lượng thực tế xuất</t>
  </si>
  <si>
    <t>Ngày xuất</t>
  </si>
  <si>
    <t>Trả lại</t>
  </si>
  <si>
    <t>Số lượng sử dụng</t>
  </si>
  <si>
    <t>Người xuất</t>
  </si>
  <si>
    <t>Người nhận</t>
  </si>
  <si>
    <t>Lần 1</t>
  </si>
  <si>
    <t>Lần 2</t>
  </si>
  <si>
    <t>Lần 3</t>
  </si>
  <si>
    <t>Lần 4</t>
  </si>
  <si>
    <t>Tổng</t>
  </si>
  <si>
    <t>Tổ in</t>
  </si>
  <si>
    <t>Kg</t>
  </si>
  <si>
    <t>Lần 1:
Lần 2:
Lần 3:
Lần 4:</t>
  </si>
  <si>
    <t>Mét</t>
  </si>
  <si>
    <t>Dung môi OPP</t>
  </si>
  <si>
    <t>Mực in OPP Medium Arirang</t>
  </si>
  <si>
    <t>MOCLME2100001</t>
  </si>
  <si>
    <t>Thành phẩm dự kiến:</t>
  </si>
  <si>
    <t>Cái</t>
  </si>
  <si>
    <t>GHI CHÚ:</t>
  </si>
  <si>
    <t>`</t>
  </si>
  <si>
    <t xml:space="preserve">CÔNG TY TNHH SẢN XUẤT THƯƠNG MẠI DỊCH VỤ VỮNG TIẾN       </t>
  </si>
  <si>
    <t>XD2KH00309BP0002</t>
  </si>
  <si>
    <t>Bao đựng keo dán gạch VISION xám 25kg</t>
  </si>
  <si>
    <t xml:space="preserve">23S03MKH00309000031       </t>
  </si>
  <si>
    <t>Chiều dài bao</t>
  </si>
  <si>
    <t>Tổ tráng</t>
  </si>
  <si>
    <t>Taical</t>
  </si>
  <si>
    <t>NHTEFPP010511</t>
  </si>
  <si>
    <t>Dán</t>
  </si>
  <si>
    <t>Lần 1:
Lần 2:
Lần 3:</t>
  </si>
  <si>
    <t>Vistamaxx</t>
  </si>
  <si>
    <t>NHVITAMAX0001</t>
  </si>
  <si>
    <t>Keo Acrylic</t>
  </si>
  <si>
    <t>PKACRYLIC0001</t>
  </si>
  <si>
    <t>Tổ thổi</t>
  </si>
  <si>
    <t>Hạt taical trắng EFPE 75T</t>
  </si>
  <si>
    <t>NHTEFPE75T01</t>
  </si>
  <si>
    <t>May</t>
  </si>
  <si>
    <t>Chỉ may trắng</t>
  </si>
  <si>
    <t>VC10000000001</t>
  </si>
  <si>
    <t>Dây bó bao xám</t>
  </si>
  <si>
    <t>VC40000000001</t>
  </si>
  <si>
    <t>KẾ HOẠCH</t>
  </si>
  <si>
    <t>QUẢN LÝ CHẤT LƯỢNG</t>
  </si>
  <si>
    <t>NGƯỜI NHẬN</t>
  </si>
  <si>
    <t>(Ký xác nhận)</t>
  </si>
  <si>
    <t>LỆNH SẢN XUẤT</t>
  </si>
  <si>
    <t>Số hiệu: QTKSX-BM03</t>
  </si>
  <si>
    <t>Phiên bản: 00</t>
  </si>
  <si>
    <t>Hiệu lực: 2023-11-09</t>
  </si>
  <si>
    <t>Số phiếu YCSX:</t>
  </si>
  <si>
    <t xml:space="preserve">Mã sản phẩm: </t>
  </si>
  <si>
    <t>Tổ:</t>
  </si>
  <si>
    <t>Tên sản phẩm:</t>
  </si>
  <si>
    <t>Ngày bắt đầu:</t>
  </si>
  <si>
    <t>Tên khách hàng:</t>
  </si>
  <si>
    <t>Ngày kết thúc:</t>
  </si>
  <si>
    <t>Người lập phiếu</t>
  </si>
  <si>
    <t>Người phê duyệt</t>
  </si>
  <si>
    <t>Họ và tên</t>
  </si>
  <si>
    <t>Chức vụ</t>
  </si>
  <si>
    <t>Nhân viên kế hoạch</t>
  </si>
  <si>
    <t>Chữ ký</t>
  </si>
  <si>
    <t>Công Đoạn: Đóng gói</t>
  </si>
  <si>
    <t>Tổ trưởng kiểm tra</t>
  </si>
  <si>
    <t>Loại bao</t>
  </si>
  <si>
    <t>Kết quả</t>
  </si>
  <si>
    <t>Xác nhận</t>
  </si>
  <si>
    <t>Kích thước SX</t>
  </si>
  <si>
    <t>mm</t>
  </si>
  <si>
    <t>Kích thước TP</t>
  </si>
  <si>
    <t>Số lượng PO</t>
  </si>
  <si>
    <t>Sản lượng yêu cầu</t>
  </si>
  <si>
    <t>Ca vận hành</t>
  </si>
  <si>
    <t>Ngày</t>
  </si>
  <si>
    <t>Nhân viên</t>
  </si>
  <si>
    <t>Số lượng (bao)</t>
  </si>
  <si>
    <t>Ghi chú</t>
  </si>
  <si>
    <t>Ca ngày
7h30 - 19h30</t>
  </si>
  <si>
    <t>Ca đêm
19h30 - 7h30</t>
  </si>
  <si>
    <t>Tổng sản lượng</t>
  </si>
  <si>
    <t>Bên giao
(ký, họ &amp; tên)</t>
  </si>
  <si>
    <t>Bên nhận
(ký, họ &amp; tên)</t>
  </si>
  <si>
    <t>Công Đoạn: May, lồng túi</t>
  </si>
  <si>
    <t>Hiệu lực: 01/10/2023</t>
  </si>
  <si>
    <t>Thổi</t>
  </si>
  <si>
    <t>Công Đoạn: Thổi - Cắt</t>
  </si>
  <si>
    <t>Khối lượng (Kg)</t>
  </si>
  <si>
    <t>Tráng - Dán</t>
  </si>
  <si>
    <t>Công Đoạn: Dán Cắt</t>
  </si>
  <si>
    <t>m</t>
  </si>
  <si>
    <t>Chiều dài (mét)</t>
  </si>
  <si>
    <t>Công Đoạn: Tráng Ghép</t>
  </si>
  <si>
    <t>In</t>
  </si>
  <si>
    <t>Công Đoạn: Chia cuộn</t>
  </si>
  <si>
    <t>Công Đoạn: In Ống Đồng</t>
  </si>
  <si>
    <t>Bao OPP</t>
  </si>
  <si>
    <t>…..h…..;….../….../2023</t>
  </si>
  <si>
    <t>Công Đoạn: Ghép</t>
  </si>
  <si>
    <t>Công Đoạn: Bồi</t>
  </si>
  <si>
    <t>NHẬT KÝ SẢN XUẤT</t>
  </si>
  <si>
    <t>Số hiệu: QTSXU-BM01</t>
  </si>
  <si>
    <t>Tổ :</t>
  </si>
  <si>
    <t>Nhân viên kiểm tra NVL</t>
  </si>
  <si>
    <t>Số lượng theo PO (Mét)</t>
  </si>
  <si>
    <t>Số lượng thực tế (Mét)</t>
  </si>
  <si>
    <t>Tỷ lệ</t>
  </si>
  <si>
    <t>Định mức</t>
  </si>
  <si>
    <t>Thực tế</t>
  </si>
  <si>
    <t>Trả về</t>
  </si>
  <si>
    <t>Kiểm soát chất lượng</t>
  </si>
  <si>
    <t>Chức Vụ</t>
  </si>
  <si>
    <t>Ký tên</t>
  </si>
  <si>
    <t>Thông số quá trình</t>
  </si>
  <si>
    <t>Tiêu chuẩn</t>
  </si>
  <si>
    <t>Kết quả kiểm tra</t>
  </si>
  <si>
    <t>Phế liệu</t>
  </si>
  <si>
    <t>Khối lượng
(Kg)</t>
  </si>
  <si>
    <t>Người cân</t>
  </si>
  <si>
    <t>QLCL</t>
  </si>
  <si>
    <t>____:____</t>
  </si>
  <si>
    <t>Lực xả cài đặt ban đầu</t>
  </si>
  <si>
    <t>N</t>
  </si>
  <si>
    <t>Lực ép lô</t>
  </si>
  <si>
    <t xml:space="preserve">3.5 ± 0.5 </t>
  </si>
  <si>
    <t>Bar</t>
  </si>
  <si>
    <t>Lực ép dao</t>
  </si>
  <si>
    <t xml:space="preserve">4.5 ± 0.5 </t>
  </si>
  <si>
    <t>Điểm từ dao gạt mực đến điểm ép lô cao su</t>
  </si>
  <si>
    <t>Tốc độ cuốn</t>
  </si>
  <si>
    <t>35 ± 10</t>
  </si>
  <si>
    <t>Hz</t>
  </si>
  <si>
    <t>Tốc độ lô in</t>
  </si>
  <si>
    <t>55 ± 10</t>
  </si>
  <si>
    <t>m/phút</t>
  </si>
  <si>
    <t>Số lần nối màng tiêu chuẩn</t>
  </si>
  <si>
    <t>Lần</t>
  </si>
  <si>
    <t>Độ nhớt mực in</t>
  </si>
  <si>
    <t>22 ± 2</t>
  </si>
  <si>
    <t>Giây</t>
  </si>
  <si>
    <t>Độ lệch màu so với mẫu chuẩn</t>
  </si>
  <si>
    <t>ΔE ≤ 1.0</t>
  </si>
  <si>
    <t>Thông số sản phẩm</t>
  </si>
  <si>
    <t>Kích thước</t>
  </si>
  <si>
    <t>Đúng yêu cầu</t>
  </si>
  <si>
    <t>Màu sắc trên màng in</t>
  </si>
  <si>
    <t>Độ bám dính</t>
  </si>
  <si>
    <t>Không bong tróc mực</t>
  </si>
  <si>
    <t>Ngoại quan</t>
  </si>
  <si>
    <t>Không lem mực
Không lệch chồng màu
Không xước mực, lên mực
Không đổ cuộn, nhăn cuộn</t>
  </si>
  <si>
    <t>Thành phẩm in</t>
  </si>
  <si>
    <t>Chiều dài (Mét)</t>
  </si>
  <si>
    <t>Công Đoạn: Chia Cuộn</t>
  </si>
  <si>
    <t>Lực thắng cuộn</t>
  </si>
  <si>
    <t>4 ± 1</t>
  </si>
  <si>
    <t>V</t>
  </si>
  <si>
    <t>Lực quấn</t>
  </si>
  <si>
    <t>45 ± 10</t>
  </si>
  <si>
    <t>RPM</t>
  </si>
  <si>
    <t>Tốc độ kéo</t>
  </si>
  <si>
    <t xml:space="preserve">110 ± 10 </t>
  </si>
  <si>
    <t>Khoảng cách từ điểm cắt đến biên cắt</t>
  </si>
  <si>
    <t>3 ± 1</t>
  </si>
  <si>
    <t>Cuộn xả tối đa</t>
  </si>
  <si>
    <t>Cuộn quấn tối đa</t>
  </si>
  <si>
    <t>Khổ màng chia biên</t>
  </si>
  <si>
    <t>Không gấp màng
Không đổ cuộn
Không trầy xước</t>
  </si>
  <si>
    <t>Thành phẩm chia cuộn</t>
  </si>
  <si>
    <t>Thành phẩm chia biên</t>
  </si>
  <si>
    <t>Mã mành sản xuất</t>
  </si>
  <si>
    <t>Khối lượng nhựa cần</t>
  </si>
  <si>
    <t>Tốc độ máy</t>
  </si>
  <si>
    <t>Độ rộng đường dán</t>
  </si>
  <si>
    <t>35 - 40</t>
  </si>
  <si>
    <t>5 - 24</t>
  </si>
  <si>
    <t>Khổ thành phẩm</t>
  </si>
  <si>
    <t>5.5 ± 0.5</t>
  </si>
  <si>
    <t>Định lượng TP</t>
  </si>
  <si>
    <t>G/m²</t>
  </si>
  <si>
    <t>Nhiệt độ làm mát lô</t>
  </si>
  <si>
    <t>°C</t>
  </si>
  <si>
    <t>Định lượng keo</t>
  </si>
  <si>
    <t>Tốc độ quấn cuộn</t>
  </si>
  <si>
    <t>Không bong tróc</t>
  </si>
  <si>
    <t>Thông số nhiệt đầu khuôn vùng 1</t>
  </si>
  <si>
    <t>290 ± 2</t>
  </si>
  <si>
    <t>Không nhăn
Không gồ
Không cao mép
Không đổ cuộn</t>
  </si>
  <si>
    <t>Thông số nhiệt đầu khuôn vùng 2</t>
  </si>
  <si>
    <t>Thông số nhiệt đầu khuôn vùng 3</t>
  </si>
  <si>
    <t>Thông số nhiệt đầu khuôn vùng 4</t>
  </si>
  <si>
    <t>Thông số nhiệt đầu khuôn vùng 5</t>
  </si>
  <si>
    <t>Thông số nhiệt đầu khuôn vùng 6</t>
  </si>
  <si>
    <t>Thông số nhiệt đầu khuôn vùng 7</t>
  </si>
  <si>
    <t>Thông số nhiệt trục vít vùng 1</t>
  </si>
  <si>
    <t>Thông số nhiệt trục vít vùng 2</t>
  </si>
  <si>
    <t>Thông số nhiệt trục vít vùng 3</t>
  </si>
  <si>
    <t>250 ± 2</t>
  </si>
  <si>
    <t>Thông số nhiệt trục vít vùng 4</t>
  </si>
  <si>
    <t>260 ± 2</t>
  </si>
  <si>
    <t>Thông số nhiệt trục vít vùng 5</t>
  </si>
  <si>
    <t>270 ± 2</t>
  </si>
  <si>
    <t>Khôí lượng
(Kg)</t>
  </si>
  <si>
    <t>Thông số nhiệt trục vít vùng 6</t>
  </si>
  <si>
    <t>Tốc độ đùn keo</t>
  </si>
  <si>
    <t>Thời gian trộn keo trong bồn</t>
  </si>
  <si>
    <t>3 - 5</t>
  </si>
  <si>
    <t>Phút</t>
  </si>
  <si>
    <t>Chiều rộng khuôn xả keo</t>
  </si>
  <si>
    <t>Độ rộng biên cắt</t>
  </si>
  <si>
    <t>Khe hở miệng khuôn</t>
  </si>
  <si>
    <t>Chiều dài cuộn thành phẩm tối đa</t>
  </si>
  <si>
    <t>Thành phẩm tráng</t>
  </si>
  <si>
    <t>Tốc độ keo</t>
  </si>
  <si>
    <t>Lái cuộn</t>
  </si>
  <si>
    <t>Lực ép đường dán</t>
  </si>
  <si>
    <t>Kích thước nhông</t>
  </si>
  <si>
    <t>Số đường keo</t>
  </si>
  <si>
    <t>Đường</t>
  </si>
  <si>
    <t>Điều chỉnh dưỡng</t>
  </si>
  <si>
    <t>Độ sâu tối đa của dĩa xếp hong</t>
  </si>
  <si>
    <t>Nhiệt độ đầu khuôn</t>
  </si>
  <si>
    <t>270 ± 5</t>
  </si>
  <si>
    <t>Nhiệt độ trục vít vùng 1</t>
  </si>
  <si>
    <t>255 ± 5</t>
  </si>
  <si>
    <t>Nhiệt độ trục vít vùng 2</t>
  </si>
  <si>
    <t>280 ± 5</t>
  </si>
  <si>
    <t>Nhiệt độ trục vít vùng 3</t>
  </si>
  <si>
    <t>Kích thước chiều dài</t>
  </si>
  <si>
    <t>Kích thước chiều rộng</t>
  </si>
  <si>
    <t>Kích thước hông</t>
  </si>
  <si>
    <t>Độ lệch hông cho phép</t>
  </si>
  <si>
    <t xml:space="preserve">≤ 5 </t>
  </si>
  <si>
    <t>Đường dư biên</t>
  </si>
  <si>
    <t xml:space="preserve">≤ 2 </t>
  </si>
  <si>
    <t>Độ tràn keo cho phép</t>
  </si>
  <si>
    <t xml:space="preserve">Độ lệch dấu bao </t>
  </si>
  <si>
    <t>Bám dính</t>
  </si>
  <si>
    <t>Ngấu khi xé
Keo tản đều nhau</t>
  </si>
  <si>
    <t>Không bị nhăn, gấp bao
Không bị tưa, dập đầu bao
Không bị cà hông
Không bị lệch hông</t>
  </si>
  <si>
    <t>Bán thành phẩm trước khi dán (Kg)</t>
  </si>
  <si>
    <t>Thành phẩm dán (Mét)</t>
  </si>
  <si>
    <t>Lực quấn cuộn</t>
  </si>
  <si>
    <t>Trọng lượng BTP từ 0 đến 15kg: 180 ± 10
Trọng lượng BTP từ 16 đến 35kg: 195 ± 10
Trọng lượng BTP từ 36 đến 50kg: 220 ± 10</t>
  </si>
  <si>
    <t>Thông số nhiệt vùng 1</t>
  </si>
  <si>
    <t>Thông số nhiệt vùng 2</t>
  </si>
  <si>
    <t>Thông số nhiệt vùng 3</t>
  </si>
  <si>
    <t>Thông số nhiệt vùng 4</t>
  </si>
  <si>
    <t>Thông số nhiệt vùng 5</t>
  </si>
  <si>
    <t>Tốc độ kéo bóng</t>
  </si>
  <si>
    <t>Kích thước đáy</t>
  </si>
  <si>
    <t>Độ dày</t>
  </si>
  <si>
    <t>μm</t>
  </si>
  <si>
    <t>Khối lượng</t>
  </si>
  <si>
    <t>g</t>
  </si>
  <si>
    <t>Không bám bụi bẩn Không dính dầu nhớt
Không rách túi</t>
  </si>
  <si>
    <t>Số lượng (Cái)</t>
  </si>
  <si>
    <t>Công Đoạn: May - Lồng túi</t>
  </si>
  <si>
    <t>Số lượng theo PO</t>
  </si>
  <si>
    <t>Bao</t>
  </si>
  <si>
    <t>Không bỏ mũi
Không đứt chỉ, rối chỉ
Không dính dầu nhớt</t>
  </si>
  <si>
    <t>Không tưa chỉ
Không xổ chỉ</t>
  </si>
  <si>
    <t>Cắt chỉ</t>
  </si>
  <si>
    <t>Lồng túi</t>
  </si>
  <si>
    <t>Đúng yêu cầu
Không rách túi
Không lòi túi</t>
  </si>
  <si>
    <t>Quy cách</t>
  </si>
  <si>
    <t>Thành phẩm may</t>
  </si>
  <si>
    <t>Số lượng (Bao)</t>
  </si>
  <si>
    <t>Công Đoạn: Đóng Gói</t>
  </si>
  <si>
    <t>Bó bao</t>
  </si>
  <si>
    <t>100 bao/bó
Lật mặt trước bao lên trên</t>
  </si>
  <si>
    <t>Đóng gói</t>
  </si>
  <si>
    <t>Đúng yêu cầu số bao/kiện
Buộc dây chắc, không xộc xệch
Đúng màu sắc dây theo yêu cầu
Không có dị vật rơi vào</t>
  </si>
  <si>
    <t>Thành phẩm</t>
  </si>
  <si>
    <t>Số lượng (Bó)</t>
  </si>
  <si>
    <t>Nguyễn Minh Quân</t>
  </si>
  <si>
    <t>TP Kế hoạch</t>
  </si>
  <si>
    <t>Số lô/ số lot</t>
  </si>
  <si>
    <t xml:space="preserve">LDPE </t>
  </si>
  <si>
    <t>MTLS</t>
  </si>
  <si>
    <t>\</t>
  </si>
  <si>
    <t>Tạm ứng</t>
  </si>
  <si>
    <t>Mực OPP tái chế</t>
  </si>
  <si>
    <t>MOPPHH0000001</t>
  </si>
  <si>
    <t>≤ 0,5</t>
  </si>
  <si>
    <t>Đáy bao: ≤ 5
Miệng bao: ≤5</t>
  </si>
  <si>
    <t xml:space="preserve">≤ 2,5 </t>
  </si>
  <si>
    <t>Định lượng</t>
  </si>
  <si>
    <t>Độ hàn dính</t>
  </si>
  <si>
    <r>
      <t xml:space="preserve">Bên giao
</t>
    </r>
    <r>
      <rPr>
        <b/>
        <i/>
        <sz val="9"/>
        <color theme="1"/>
        <rFont val="UTM Avo"/>
        <family val="1"/>
      </rPr>
      <t>(ký, họ &amp; tên)</t>
    </r>
  </si>
  <si>
    <r>
      <t xml:space="preserve">Bên nhận
</t>
    </r>
    <r>
      <rPr>
        <b/>
        <i/>
        <sz val="9"/>
        <color theme="1"/>
        <rFont val="UTM Avo"/>
        <family val="1"/>
      </rPr>
      <t>(ký, họ &amp; tên)</t>
    </r>
  </si>
  <si>
    <t>PDMTOLUENE001</t>
  </si>
  <si>
    <t>Giám sát kỹ thuật</t>
  </si>
  <si>
    <t>24 ± 2</t>
  </si>
  <si>
    <t>65 ± 5</t>
  </si>
  <si>
    <t>Thông số nhiệt trục vít vùng 0</t>
  </si>
  <si>
    <t>220 ± 2</t>
  </si>
  <si>
    <t>225 ± 2</t>
  </si>
  <si>
    <t>255 ± 2</t>
  </si>
  <si>
    <t>200 bao/kiện</t>
  </si>
  <si>
    <t>Dung môi EA</t>
  </si>
  <si>
    <t>PDMEA00001</t>
  </si>
  <si>
    <t>Ngày ........../.........../ 2026</t>
  </si>
  <si>
    <t>…..h…..;….../….../2026</t>
  </si>
  <si>
    <t>F801C</t>
  </si>
  <si>
    <t>NHPPNSF801C001</t>
  </si>
  <si>
    <t xml:space="preserve">Hạt màu </t>
  </si>
  <si>
    <t>NHMMWD9015001</t>
  </si>
  <si>
    <t>NHLLDPEFD21HN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</si>
</sst>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(* #,##0.00_);_(* \(#,##0.00\);_(* &quot;-&quot;??_);_(@_)"/>
    <numFmt numFmtId="164" formatCode="_-* #,##0.00_-;\-* #,##0.00_-;_-* &quot;-&quot;??_-;_-@_-"/>
    <numFmt numFmtId="165" formatCode="_(* #,##0_);_(* \(#,##0\);_(* &quot;-&quot;??_);_(@_)"/>
    <numFmt numFmtId="166" formatCode="yyyy\-mm\-dd;@"/>
    <numFmt numFmtId="167" formatCode="0.000"/>
    <numFmt numFmtId="168" formatCode="_(* #,##0.000_);_(* \(#,##0.000\);_(* &quot;-&quot;??_);_(@_)"/>
    <numFmt numFmtId="169" formatCode="0.0%"/>
    <numFmt numFmtId="170" formatCode="m/d/yyyy;@"/>
    <numFmt numFmtId="171" formatCode="_(* #,##0.0_);_(* \(#,##0.0\);_(* &quot;-&quot;??_);_(@_)"/>
    <numFmt numFmtId="172" formatCode="0.0"/>
  </numFmts>
  <fonts count="23">
    <font>
      <sz val="11"/>
      <color theme="1"/>
      <name val="Calibri"/>
      <charset val="134"/>
      <scheme val="minor"/>
    </font>
    <font>
      <sz val="12"/>
      <color theme="1"/>
      <name val="Times New Roman"/>
      <family val="1"/>
    </font>
    <font>
      <sz val="4"/>
      <color theme="1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1"/>
      <color theme="1"/>
      <name val="Times New Roman"/>
      <family val="1"/>
    </font>
    <font>
      <sz val="9"/>
      <color theme="1"/>
      <name val="Times New Roman"/>
      <family val="1"/>
    </font>
    <font>
      <b/>
      <sz val="14"/>
      <color theme="1"/>
      <name val="Times New Roman"/>
      <family val="1"/>
    </font>
    <font>
      <b/>
      <sz val="9"/>
      <color theme="1"/>
      <name val="Times New Roman"/>
      <family val="1"/>
    </font>
    <font>
      <sz val="9"/>
      <color rgb="FF000000"/>
      <name val="Times New Roman"/>
      <family val="1"/>
    </font>
    <font>
      <sz val="9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UTM Avo"/>
      <family val="1"/>
    </font>
    <font>
      <sz val="9"/>
      <color theme="1"/>
      <name val="UTM Avo"/>
      <family val="1"/>
    </font>
    <font>
      <sz val="9"/>
      <color rgb="FF000000"/>
      <name val="UTM Avo"/>
      <family val="1"/>
    </font>
    <font>
      <sz val="9"/>
      <color rgb="FFFF0000"/>
      <name val="UTM Avo"/>
      <family val="1"/>
    </font>
    <font>
      <sz val="9"/>
      <color theme="0"/>
      <name val="UTM Avo"/>
      <family val="1"/>
    </font>
    <font>
      <b/>
      <i/>
      <sz val="9"/>
      <color theme="1"/>
      <name val="UTM Avo"/>
      <family val="1"/>
    </font>
    <font>
      <sz val="9"/>
      <name val="UTM Avo"/>
      <family val="1"/>
    </font>
    <font>
      <sz val="11"/>
      <color theme="1"/>
      <name val="UTM Avo"/>
      <family val="1"/>
    </font>
    <font>
      <sz val="8"/>
      <color theme="1"/>
      <name val="UTM Avo"/>
      <family val="1"/>
    </font>
    <font>
      <b/>
      <sz val="8"/>
      <color theme="1"/>
      <name val="UTM Avo"/>
      <family val="1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0000"/>
      </patternFill>
    </fill>
  </fills>
  <borders count="8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dashed">
        <color auto="1"/>
      </top>
      <bottom/>
      <diagonal/>
    </border>
    <border>
      <left/>
      <right/>
      <top style="dashed">
        <color auto="1"/>
      </top>
      <bottom/>
      <diagonal/>
    </border>
    <border>
      <left/>
      <right style="medium">
        <color auto="1"/>
      </right>
      <top style="dashed">
        <color auto="1"/>
      </top>
      <bottom/>
      <diagonal/>
    </border>
    <border>
      <left style="medium">
        <color auto="1"/>
      </left>
      <right/>
      <top style="dashed">
        <color auto="1"/>
      </top>
      <bottom style="medium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 style="medium">
        <color auto="1"/>
      </right>
      <top style="dashed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dashed">
        <color auto="1"/>
      </bottom>
      <diagonal/>
    </border>
    <border>
      <left/>
      <right/>
      <top style="thin">
        <color auto="1"/>
      </top>
      <bottom style="dashed">
        <color auto="1"/>
      </bottom>
      <diagonal/>
    </border>
    <border>
      <left/>
      <right style="medium">
        <color auto="1"/>
      </right>
      <top style="thin">
        <color auto="1"/>
      </top>
      <bottom style="dashed">
        <color auto="1"/>
      </bottom>
      <diagonal/>
    </border>
    <border>
      <left style="medium">
        <color auto="1"/>
      </left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 style="medium">
        <color auto="1"/>
      </right>
      <top style="dashed">
        <color auto="1"/>
      </top>
      <bottom style="dashed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</borders>
  <cellStyleXfs count="6">
    <xf numFmtId="0" fontId="0" fillId="0" borderId="0"/>
    <xf numFmtId="43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164" fontId="11" fillId="0" borderId="0" applyFont="0" applyFill="0" applyBorder="0" applyAlignment="0" applyProtection="0"/>
    <xf numFmtId="0" fontId="12" fillId="0" borderId="0"/>
  </cellStyleXfs>
  <cellXfs count="845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6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9" fillId="3" borderId="0" xfId="0" applyFont="1" applyFill="1" applyAlignment="1">
      <alignment horizontal="left" vertical="center" wrapText="1"/>
    </xf>
    <xf numFmtId="0" fontId="6" fillId="0" borderId="0" xfId="0" applyFont="1" applyAlignment="1">
      <alignment horizontal="left" vertical="center"/>
    </xf>
    <xf numFmtId="0" fontId="8" fillId="0" borderId="10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12" xfId="0" applyFont="1" applyBorder="1" applyAlignment="1">
      <alignment vertical="center"/>
    </xf>
    <xf numFmtId="0" fontId="6" fillId="0" borderId="14" xfId="0" applyFont="1" applyBorder="1" applyAlignment="1">
      <alignment vertical="center"/>
    </xf>
    <xf numFmtId="0" fontId="6" fillId="0" borderId="51" xfId="0" applyFont="1" applyBorder="1" applyAlignment="1">
      <alignment vertical="center"/>
    </xf>
    <xf numFmtId="0" fontId="4" fillId="0" borderId="38" xfId="0" applyFont="1" applyBorder="1" applyAlignment="1">
      <alignment vertical="center"/>
    </xf>
    <xf numFmtId="0" fontId="4" fillId="0" borderId="39" xfId="0" applyFont="1" applyBorder="1" applyAlignment="1">
      <alignment vertical="center"/>
    </xf>
    <xf numFmtId="0" fontId="4" fillId="0" borderId="40" xfId="0" applyFont="1" applyBorder="1" applyAlignment="1">
      <alignment vertical="center"/>
    </xf>
    <xf numFmtId="0" fontId="10" fillId="0" borderId="0" xfId="0" applyFont="1" applyAlignment="1">
      <alignment vertical="center"/>
    </xf>
    <xf numFmtId="14" fontId="6" fillId="0" borderId="0" xfId="0" applyNumberFormat="1" applyFont="1" applyAlignment="1">
      <alignment horizontal="left" vertical="center"/>
    </xf>
    <xf numFmtId="165" fontId="6" fillId="0" borderId="0" xfId="0" applyNumberFormat="1" applyFont="1" applyAlignment="1">
      <alignment horizontal="left" vertical="center"/>
    </xf>
    <xf numFmtId="0" fontId="14" fillId="0" borderId="0" xfId="0" applyFont="1"/>
    <xf numFmtId="0" fontId="14" fillId="0" borderId="0" xfId="0" applyFont="1" applyAlignment="1">
      <alignment horizontal="center" vertical="center" wrapText="1"/>
    </xf>
    <xf numFmtId="0" fontId="14" fillId="0" borderId="0" xfId="0" applyFont="1" applyAlignment="1">
      <alignment vertical="center" wrapText="1"/>
    </xf>
    <xf numFmtId="0" fontId="14" fillId="0" borderId="0" xfId="0" applyFont="1" applyAlignment="1">
      <alignment vertical="center"/>
    </xf>
    <xf numFmtId="0" fontId="13" fillId="0" borderId="0" xfId="0" applyFont="1" applyAlignment="1">
      <alignment vertical="center" wrapText="1"/>
    </xf>
    <xf numFmtId="0" fontId="13" fillId="0" borderId="12" xfId="0" applyFont="1" applyBorder="1" applyAlignment="1">
      <alignment vertical="center" wrapText="1"/>
    </xf>
    <xf numFmtId="0" fontId="14" fillId="0" borderId="12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0" borderId="23" xfId="0" applyFont="1" applyBorder="1" applyAlignment="1">
      <alignment vertical="center"/>
    </xf>
    <xf numFmtId="0" fontId="1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vertical="center"/>
    </xf>
    <xf numFmtId="0" fontId="14" fillId="0" borderId="0" xfId="0" applyFont="1" applyAlignment="1">
      <alignment horizontal="left" vertical="center"/>
    </xf>
    <xf numFmtId="0" fontId="14" fillId="0" borderId="0" xfId="0" applyFont="1" applyAlignment="1">
      <alignment horizontal="center" vertical="top"/>
    </xf>
    <xf numFmtId="0" fontId="13" fillId="0" borderId="14" xfId="0" applyFont="1" applyBorder="1" applyAlignment="1">
      <alignment horizontal="center" vertical="center"/>
    </xf>
    <xf numFmtId="0" fontId="14" fillId="0" borderId="64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/>
    </xf>
    <xf numFmtId="0" fontId="14" fillId="0" borderId="67" xfId="0" applyFont="1" applyBorder="1" applyAlignment="1">
      <alignment horizontal="center" vertical="center"/>
    </xf>
    <xf numFmtId="0" fontId="14" fillId="0" borderId="87" xfId="0" applyFont="1" applyBorder="1" applyAlignment="1">
      <alignment horizontal="center" vertical="center"/>
    </xf>
    <xf numFmtId="0" fontId="14" fillId="0" borderId="12" xfId="0" applyFont="1" applyBorder="1" applyAlignment="1">
      <alignment vertical="center"/>
    </xf>
    <xf numFmtId="0" fontId="14" fillId="0" borderId="12" xfId="0" applyFont="1" applyBorder="1" applyAlignment="1">
      <alignment horizontal="center" vertical="center" wrapText="1"/>
    </xf>
    <xf numFmtId="0" fontId="14" fillId="0" borderId="45" xfId="0" applyFont="1" applyBorder="1" applyAlignment="1">
      <alignment horizontal="center" vertical="center"/>
    </xf>
    <xf numFmtId="0" fontId="14" fillId="0" borderId="43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4" fillId="0" borderId="48" xfId="0" applyFont="1" applyBorder="1" applyAlignment="1">
      <alignment horizontal="center" vertical="center"/>
    </xf>
    <xf numFmtId="0" fontId="14" fillId="0" borderId="81" xfId="0" applyFont="1" applyBorder="1" applyAlignment="1">
      <alignment horizontal="center" vertical="center"/>
    </xf>
    <xf numFmtId="0" fontId="14" fillId="0" borderId="12" xfId="0" applyFont="1" applyBorder="1" applyAlignment="1">
      <alignment horizontal="left" vertical="center"/>
    </xf>
    <xf numFmtId="43" fontId="14" fillId="0" borderId="20" xfId="0" applyNumberFormat="1" applyFont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68" xfId="0" applyFont="1" applyBorder="1" applyAlignment="1">
      <alignment horizontal="center" vertical="center"/>
    </xf>
    <xf numFmtId="0" fontId="14" fillId="0" borderId="82" xfId="0" applyFont="1" applyBorder="1" applyAlignment="1">
      <alignment horizontal="center" vertical="center"/>
    </xf>
    <xf numFmtId="0" fontId="14" fillId="0" borderId="10" xfId="0" applyFont="1" applyBorder="1" applyAlignment="1">
      <alignment horizontal="right" vertical="center"/>
    </xf>
    <xf numFmtId="0" fontId="14" fillId="0" borderId="20" xfId="0" applyFont="1" applyBorder="1" applyAlignment="1">
      <alignment horizontal="center" vertical="center"/>
    </xf>
    <xf numFmtId="0" fontId="14" fillId="0" borderId="0" xfId="0" applyFont="1" applyAlignment="1">
      <alignment horizontal="right" vertical="center" wrapText="1"/>
    </xf>
    <xf numFmtId="9" fontId="14" fillId="0" borderId="12" xfId="2" applyFont="1" applyFill="1" applyBorder="1" applyAlignment="1">
      <alignment horizontal="center" vertical="center"/>
    </xf>
    <xf numFmtId="0" fontId="14" fillId="0" borderId="12" xfId="0" applyFont="1" applyBorder="1" applyAlignment="1">
      <alignment vertical="center" wrapText="1"/>
    </xf>
    <xf numFmtId="0" fontId="14" fillId="0" borderId="33" xfId="0" applyFont="1" applyBorder="1" applyAlignment="1">
      <alignment horizontal="center" vertical="center"/>
    </xf>
    <xf numFmtId="0" fontId="14" fillId="0" borderId="51" xfId="0" applyFont="1" applyBorder="1" applyAlignment="1">
      <alignment horizontal="center" vertical="center"/>
    </xf>
    <xf numFmtId="0" fontId="14" fillId="0" borderId="52" xfId="0" applyFont="1" applyBorder="1" applyAlignment="1">
      <alignment horizontal="center" vertical="center"/>
    </xf>
    <xf numFmtId="0" fontId="14" fillId="0" borderId="46" xfId="0" applyFont="1" applyBorder="1" applyAlignment="1">
      <alignment horizontal="center" vertical="center"/>
    </xf>
    <xf numFmtId="0" fontId="14" fillId="0" borderId="83" xfId="0" applyFont="1" applyBorder="1" applyAlignment="1">
      <alignment horizontal="center" vertical="center"/>
    </xf>
    <xf numFmtId="0" fontId="14" fillId="2" borderId="14" xfId="0" applyFont="1" applyFill="1" applyBorder="1" applyAlignment="1">
      <alignment vertical="center"/>
    </xf>
    <xf numFmtId="0" fontId="14" fillId="0" borderId="22" xfId="0" applyFont="1" applyBorder="1" applyAlignment="1">
      <alignment horizontal="center" vertical="center"/>
    </xf>
    <xf numFmtId="0" fontId="14" fillId="0" borderId="23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80" xfId="0" applyFont="1" applyBorder="1" applyAlignment="1">
      <alignment horizontal="center" vertical="center"/>
    </xf>
    <xf numFmtId="0" fontId="14" fillId="0" borderId="84" xfId="0" applyFont="1" applyBorder="1" applyAlignment="1">
      <alignment horizontal="center" vertical="center"/>
    </xf>
    <xf numFmtId="0" fontId="16" fillId="2" borderId="62" xfId="0" applyFont="1" applyFill="1" applyBorder="1" applyAlignment="1">
      <alignment vertical="center"/>
    </xf>
    <xf numFmtId="0" fontId="16" fillId="2" borderId="62" xfId="0" applyFont="1" applyFill="1" applyBorder="1" applyAlignment="1">
      <alignment horizontal="center" vertical="center" wrapText="1"/>
    </xf>
    <xf numFmtId="165" fontId="16" fillId="2" borderId="63" xfId="0" applyNumberFormat="1" applyFont="1" applyFill="1" applyBorder="1" applyAlignment="1">
      <alignment vertical="center" wrapText="1"/>
    </xf>
    <xf numFmtId="0" fontId="14" fillId="0" borderId="5" xfId="0" applyFont="1" applyBorder="1" applyAlignment="1">
      <alignment horizontal="left" vertical="top"/>
    </xf>
    <xf numFmtId="165" fontId="14" fillId="0" borderId="0" xfId="0" applyNumberFormat="1" applyFont="1"/>
    <xf numFmtId="0" fontId="14" fillId="0" borderId="12" xfId="0" applyFont="1" applyBorder="1"/>
    <xf numFmtId="165" fontId="14" fillId="0" borderId="12" xfId="0" applyNumberFormat="1" applyFont="1" applyBorder="1"/>
    <xf numFmtId="43" fontId="14" fillId="0" borderId="12" xfId="0" applyNumberFormat="1" applyFont="1" applyBorder="1"/>
    <xf numFmtId="168" fontId="14" fillId="0" borderId="12" xfId="0" applyNumberFormat="1" applyFont="1" applyBorder="1"/>
    <xf numFmtId="0" fontId="17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" fontId="14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166" fontId="14" fillId="0" borderId="0" xfId="0" applyNumberFormat="1" applyFont="1" applyAlignment="1">
      <alignment horizontal="left" vertical="center"/>
    </xf>
    <xf numFmtId="0" fontId="13" fillId="0" borderId="11" xfId="0" applyFont="1" applyBorder="1" applyAlignment="1">
      <alignment vertical="center"/>
    </xf>
    <xf numFmtId="0" fontId="13" fillId="0" borderId="12" xfId="0" applyFont="1" applyBorder="1" applyAlignment="1">
      <alignment vertical="center"/>
    </xf>
    <xf numFmtId="0" fontId="13" fillId="0" borderId="11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 wrapText="1"/>
    </xf>
    <xf numFmtId="165" fontId="13" fillId="0" borderId="12" xfId="1" applyNumberFormat="1" applyFont="1" applyBorder="1" applyAlignment="1">
      <alignment horizontal="center" vertical="center"/>
    </xf>
    <xf numFmtId="165" fontId="13" fillId="0" borderId="18" xfId="1" applyNumberFormat="1" applyFont="1" applyBorder="1" applyAlignment="1">
      <alignment horizontal="center" vertical="center"/>
    </xf>
    <xf numFmtId="0" fontId="14" fillId="0" borderId="5" xfId="0" applyFont="1" applyBorder="1" applyAlignment="1">
      <alignment vertical="center"/>
    </xf>
    <xf numFmtId="9" fontId="14" fillId="0" borderId="12" xfId="2" applyFont="1" applyBorder="1" applyAlignment="1">
      <alignment horizontal="center" vertical="center" wrapText="1"/>
    </xf>
    <xf numFmtId="165" fontId="14" fillId="0" borderId="12" xfId="1" applyNumberFormat="1" applyFont="1" applyBorder="1" applyAlignment="1">
      <alignment horizontal="center" vertical="center"/>
    </xf>
    <xf numFmtId="165" fontId="14" fillId="0" borderId="18" xfId="1" applyNumberFormat="1" applyFont="1" applyBorder="1" applyAlignment="1">
      <alignment horizontal="center" vertical="center"/>
    </xf>
    <xf numFmtId="0" fontId="14" fillId="0" borderId="8" xfId="0" applyFont="1" applyBorder="1" applyAlignment="1">
      <alignment vertical="center"/>
    </xf>
    <xf numFmtId="0" fontId="14" fillId="0" borderId="7" xfId="0" applyFont="1" applyBorder="1" applyAlignment="1">
      <alignment vertical="center"/>
    </xf>
    <xf numFmtId="165" fontId="14" fillId="0" borderId="12" xfId="0" applyNumberFormat="1" applyFont="1" applyBorder="1" applyAlignment="1">
      <alignment horizontal="center" vertical="center"/>
    </xf>
    <xf numFmtId="0" fontId="14" fillId="0" borderId="14" xfId="0" applyFont="1" applyBorder="1" applyAlignment="1">
      <alignment vertical="center" wrapText="1"/>
    </xf>
    <xf numFmtId="165" fontId="14" fillId="0" borderId="14" xfId="0" applyNumberFormat="1" applyFont="1" applyBorder="1" applyAlignment="1">
      <alignment vertical="center"/>
    </xf>
    <xf numFmtId="9" fontId="14" fillId="0" borderId="14" xfId="2" applyFont="1" applyBorder="1" applyAlignment="1">
      <alignment vertical="center"/>
    </xf>
    <xf numFmtId="0" fontId="14" fillId="0" borderId="14" xfId="0" applyFont="1" applyBorder="1" applyAlignment="1">
      <alignment vertical="center"/>
    </xf>
    <xf numFmtId="9" fontId="14" fillId="0" borderId="0" xfId="2" applyFont="1" applyBorder="1" applyAlignment="1">
      <alignment vertical="center"/>
    </xf>
    <xf numFmtId="0" fontId="13" fillId="0" borderId="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 wrapText="1"/>
    </xf>
    <xf numFmtId="0" fontId="13" fillId="0" borderId="24" xfId="0" applyFont="1" applyBorder="1" applyAlignment="1">
      <alignment horizontal="center" vertical="center" wrapText="1"/>
    </xf>
    <xf numFmtId="167" fontId="14" fillId="0" borderId="0" xfId="0" applyNumberFormat="1" applyFont="1" applyAlignment="1">
      <alignment vertical="center"/>
    </xf>
    <xf numFmtId="16" fontId="14" fillId="0" borderId="0" xfId="0" applyNumberFormat="1" applyFont="1" applyAlignment="1">
      <alignment vertical="center"/>
    </xf>
    <xf numFmtId="9" fontId="14" fillId="0" borderId="12" xfId="2" applyFont="1" applyBorder="1" applyAlignment="1">
      <alignment vertical="center"/>
    </xf>
    <xf numFmtId="0" fontId="14" fillId="0" borderId="18" xfId="0" applyFont="1" applyBorder="1" applyAlignment="1">
      <alignment vertical="center"/>
    </xf>
    <xf numFmtId="0" fontId="14" fillId="0" borderId="11" xfId="0" applyFont="1" applyBorder="1" applyAlignment="1">
      <alignment vertical="center"/>
    </xf>
    <xf numFmtId="0" fontId="14" fillId="0" borderId="13" xfId="0" applyFont="1" applyBorder="1" applyAlignment="1">
      <alignment vertical="center"/>
    </xf>
    <xf numFmtId="0" fontId="16" fillId="2" borderId="0" xfId="0" applyFont="1" applyFill="1" applyAlignment="1">
      <alignment vertical="center"/>
    </xf>
    <xf numFmtId="0" fontId="14" fillId="2" borderId="0" xfId="0" applyFont="1" applyFill="1" applyAlignment="1">
      <alignment vertical="center"/>
    </xf>
    <xf numFmtId="0" fontId="13" fillId="0" borderId="12" xfId="0" applyFont="1" applyBorder="1" applyAlignment="1">
      <alignment horizontal="center" vertical="center"/>
    </xf>
    <xf numFmtId="165" fontId="14" fillId="0" borderId="18" xfId="1" applyNumberFormat="1" applyFont="1" applyBorder="1" applyAlignment="1">
      <alignment horizontal="left" vertical="center"/>
    </xf>
    <xf numFmtId="165" fontId="14" fillId="0" borderId="12" xfId="1" applyNumberFormat="1" applyFont="1" applyBorder="1" applyAlignment="1">
      <alignment horizontal="left" vertical="center"/>
    </xf>
    <xf numFmtId="0" fontId="14" fillId="0" borderId="18" xfId="0" applyFont="1" applyBorder="1" applyAlignment="1">
      <alignment horizontal="left" vertical="center"/>
    </xf>
    <xf numFmtId="9" fontId="14" fillId="0" borderId="12" xfId="2" applyFont="1" applyBorder="1" applyAlignment="1">
      <alignment horizontal="left" vertical="center" wrapText="1"/>
    </xf>
    <xf numFmtId="0" fontId="14" fillId="0" borderId="14" xfId="0" applyFont="1" applyBorder="1" applyAlignment="1">
      <alignment horizontal="left" vertical="center"/>
    </xf>
    <xf numFmtId="165" fontId="14" fillId="0" borderId="14" xfId="0" applyNumberFormat="1" applyFont="1" applyBorder="1" applyAlignment="1">
      <alignment horizontal="left" vertical="center"/>
    </xf>
    <xf numFmtId="9" fontId="14" fillId="0" borderId="14" xfId="2" applyFont="1" applyBorder="1" applyAlignment="1">
      <alignment horizontal="center" vertical="center"/>
    </xf>
    <xf numFmtId="0" fontId="14" fillId="0" borderId="23" xfId="0" applyFont="1" applyBorder="1" applyAlignment="1">
      <alignment horizontal="left" vertical="center"/>
    </xf>
    <xf numFmtId="9" fontId="14" fillId="0" borderId="12" xfId="2" applyFont="1" applyFill="1" applyBorder="1" applyAlignment="1">
      <alignment vertical="center"/>
    </xf>
    <xf numFmtId="0" fontId="13" fillId="0" borderId="13" xfId="0" applyFont="1" applyBorder="1" applyAlignment="1">
      <alignment vertical="center"/>
    </xf>
    <xf numFmtId="0" fontId="13" fillId="0" borderId="14" xfId="0" applyFont="1" applyBorder="1" applyAlignment="1">
      <alignment vertical="center" wrapText="1"/>
    </xf>
    <xf numFmtId="9" fontId="13" fillId="0" borderId="14" xfId="2" applyFont="1" applyBorder="1" applyAlignment="1">
      <alignment vertical="center"/>
    </xf>
    <xf numFmtId="0" fontId="13" fillId="0" borderId="14" xfId="0" applyFont="1" applyBorder="1" applyAlignment="1">
      <alignment vertical="center"/>
    </xf>
    <xf numFmtId="0" fontId="13" fillId="0" borderId="23" xfId="0" applyFont="1" applyBorder="1" applyAlignment="1">
      <alignment vertical="center"/>
    </xf>
    <xf numFmtId="0" fontId="13" fillId="0" borderId="18" xfId="0" applyFont="1" applyBorder="1" applyAlignment="1">
      <alignment vertical="center"/>
    </xf>
    <xf numFmtId="0" fontId="14" fillId="0" borderId="50" xfId="0" applyFont="1" applyBorder="1" applyAlignment="1">
      <alignment horizontal="left" vertical="center"/>
    </xf>
    <xf numFmtId="0" fontId="14" fillId="0" borderId="33" xfId="0" applyFont="1" applyBorder="1" applyAlignment="1">
      <alignment horizontal="left" vertical="center"/>
    </xf>
    <xf numFmtId="0" fontId="13" fillId="0" borderId="51" xfId="0" applyFont="1" applyBorder="1" applyAlignment="1">
      <alignment vertical="center" wrapText="1"/>
    </xf>
    <xf numFmtId="0" fontId="13" fillId="0" borderId="52" xfId="0" applyFont="1" applyBorder="1" applyAlignment="1">
      <alignment vertical="center"/>
    </xf>
    <xf numFmtId="0" fontId="13" fillId="0" borderId="4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9" fontId="14" fillId="0" borderId="12" xfId="2" applyFont="1" applyBorder="1" applyAlignment="1">
      <alignment horizontal="center" vertical="center"/>
    </xf>
    <xf numFmtId="0" fontId="14" fillId="2" borderId="12" xfId="0" applyFont="1" applyFill="1" applyBorder="1" applyAlignment="1">
      <alignment horizontal="center" vertical="center"/>
    </xf>
    <xf numFmtId="0" fontId="14" fillId="0" borderId="14" xfId="0" applyFont="1" applyBorder="1" applyAlignment="1">
      <alignment horizontal="center" vertical="center" wrapText="1"/>
    </xf>
    <xf numFmtId="9" fontId="14" fillId="0" borderId="0" xfId="2" applyFont="1" applyBorder="1" applyAlignment="1">
      <alignment horizontal="center" vertical="center"/>
    </xf>
    <xf numFmtId="0" fontId="14" fillId="0" borderId="12" xfId="0" quotePrefix="1" applyFont="1" applyBorder="1" applyAlignment="1">
      <alignment horizontal="center" vertical="center" wrapText="1"/>
    </xf>
    <xf numFmtId="1" fontId="14" fillId="0" borderId="0" xfId="0" applyNumberFormat="1" applyFont="1" applyAlignment="1">
      <alignment vertical="center"/>
    </xf>
    <xf numFmtId="0" fontId="14" fillId="0" borderId="0" xfId="0" applyFont="1" applyAlignment="1">
      <alignment vertical="top" wrapText="1"/>
    </xf>
    <xf numFmtId="9" fontId="14" fillId="0" borderId="14" xfId="2" applyFont="1" applyFill="1" applyBorder="1" applyAlignment="1">
      <alignment horizontal="center" vertical="center"/>
    </xf>
    <xf numFmtId="49" fontId="14" fillId="0" borderId="12" xfId="0" quotePrefix="1" applyNumberFormat="1" applyFont="1" applyBorder="1" applyAlignment="1">
      <alignment horizontal="center" vertical="center" wrapText="1"/>
    </xf>
    <xf numFmtId="0" fontId="14" fillId="0" borderId="12" xfId="0" applyFont="1" applyBorder="1" applyAlignment="1">
      <alignment horizontal="left" vertical="center" wrapText="1"/>
    </xf>
    <xf numFmtId="0" fontId="13" fillId="0" borderId="9" xfId="0" applyFont="1" applyBorder="1" applyAlignment="1">
      <alignment vertical="center"/>
    </xf>
    <xf numFmtId="16" fontId="14" fillId="0" borderId="12" xfId="0" quotePrefix="1" applyNumberFormat="1" applyFont="1" applyBorder="1" applyAlignment="1">
      <alignment horizontal="center" vertical="center" wrapText="1"/>
    </xf>
    <xf numFmtId="0" fontId="14" fillId="0" borderId="20" xfId="0" applyFont="1" applyBorder="1" applyAlignment="1">
      <alignment vertical="center"/>
    </xf>
    <xf numFmtId="43" fontId="14" fillId="0" borderId="0" xfId="0" applyNumberFormat="1" applyFont="1" applyAlignment="1">
      <alignment vertical="center"/>
    </xf>
    <xf numFmtId="0" fontId="14" fillId="2" borderId="23" xfId="0" applyFont="1" applyFill="1" applyBorder="1" applyAlignment="1">
      <alignment vertical="center"/>
    </xf>
    <xf numFmtId="165" fontId="13" fillId="0" borderId="14" xfId="1" applyNumberFormat="1" applyFont="1" applyBorder="1" applyAlignment="1">
      <alignment horizontal="center" vertical="center"/>
    </xf>
    <xf numFmtId="165" fontId="13" fillId="0" borderId="23" xfId="1" applyNumberFormat="1" applyFont="1" applyBorder="1" applyAlignment="1">
      <alignment horizontal="center" vertical="center"/>
    </xf>
    <xf numFmtId="165" fontId="14" fillId="0" borderId="10" xfId="1" applyNumberFormat="1" applyFont="1" applyBorder="1" applyAlignment="1">
      <alignment horizontal="center" vertical="center"/>
    </xf>
    <xf numFmtId="165" fontId="14" fillId="0" borderId="24" xfId="1" applyNumberFormat="1" applyFont="1" applyBorder="1" applyAlignment="1">
      <alignment horizontal="center" vertical="center"/>
    </xf>
    <xf numFmtId="165" fontId="14" fillId="0" borderId="51" xfId="1" applyNumberFormat="1" applyFont="1" applyBorder="1" applyAlignment="1">
      <alignment horizontal="center" vertical="center"/>
    </xf>
    <xf numFmtId="165" fontId="14" fillId="0" borderId="52" xfId="1" applyNumberFormat="1" applyFont="1" applyBorder="1" applyAlignment="1">
      <alignment horizontal="center" vertical="center"/>
    </xf>
    <xf numFmtId="0" fontId="14" fillId="0" borderId="24" xfId="0" applyFont="1" applyBorder="1" applyAlignment="1">
      <alignment vertical="center"/>
    </xf>
    <xf numFmtId="0" fontId="14" fillId="0" borderId="59" xfId="0" applyFont="1" applyBorder="1" applyAlignment="1">
      <alignment horizontal="right" vertical="center"/>
    </xf>
    <xf numFmtId="0" fontId="14" fillId="0" borderId="60" xfId="0" applyFont="1" applyBorder="1" applyAlignment="1">
      <alignment vertical="center"/>
    </xf>
    <xf numFmtId="0" fontId="14" fillId="0" borderId="62" xfId="0" applyFont="1" applyBorder="1" applyAlignment="1">
      <alignment vertical="center"/>
    </xf>
    <xf numFmtId="9" fontId="14" fillId="0" borderId="62" xfId="2" applyFont="1" applyFill="1" applyBorder="1" applyAlignment="1">
      <alignment horizontal="center" vertical="center"/>
    </xf>
    <xf numFmtId="0" fontId="14" fillId="0" borderId="62" xfId="0" applyFont="1" applyBorder="1" applyAlignment="1">
      <alignment horizontal="center" vertical="center"/>
    </xf>
    <xf numFmtId="0" fontId="14" fillId="0" borderId="62" xfId="0" applyFont="1" applyBorder="1" applyAlignment="1">
      <alignment horizontal="right" vertical="center"/>
    </xf>
    <xf numFmtId="0" fontId="14" fillId="0" borderId="14" xfId="0" applyFont="1" applyBorder="1" applyAlignment="1">
      <alignment horizontal="right" vertical="center"/>
    </xf>
    <xf numFmtId="0" fontId="14" fillId="0" borderId="63" xfId="0" applyFont="1" applyBorder="1" applyAlignment="1">
      <alignment vertical="center"/>
    </xf>
    <xf numFmtId="0" fontId="13" fillId="0" borderId="0" xfId="0" applyFont="1" applyAlignment="1">
      <alignment horizontal="center" vertical="center" wrapText="1"/>
    </xf>
    <xf numFmtId="9" fontId="14" fillId="0" borderId="0" xfId="2" applyFont="1" applyBorder="1" applyAlignment="1">
      <alignment horizontal="center" vertical="center" wrapText="1"/>
    </xf>
    <xf numFmtId="165" fontId="14" fillId="0" borderId="0" xfId="0" applyNumberFormat="1" applyFont="1" applyAlignment="1">
      <alignment horizontal="center" vertical="center"/>
    </xf>
    <xf numFmtId="165" fontId="14" fillId="0" borderId="0" xfId="1" applyNumberFormat="1" applyFont="1" applyBorder="1" applyAlignment="1">
      <alignment horizontal="center" vertical="center"/>
    </xf>
    <xf numFmtId="14" fontId="14" fillId="0" borderId="0" xfId="0" applyNumberFormat="1" applyFont="1" applyAlignment="1">
      <alignment horizontal="left" vertical="center"/>
    </xf>
    <xf numFmtId="0" fontId="13" fillId="0" borderId="58" xfId="0" applyFont="1" applyBorder="1" applyAlignment="1">
      <alignment horizontal="center" vertical="center"/>
    </xf>
    <xf numFmtId="0" fontId="13" fillId="0" borderId="57" xfId="0" applyFont="1" applyBorder="1" applyAlignment="1">
      <alignment horizontal="center" vertical="center"/>
    </xf>
    <xf numFmtId="0" fontId="14" fillId="0" borderId="51" xfId="0" applyFont="1" applyBorder="1" applyAlignment="1">
      <alignment vertical="center"/>
    </xf>
    <xf numFmtId="0" fontId="14" fillId="0" borderId="38" xfId="0" applyFont="1" applyBorder="1" applyAlignment="1">
      <alignment vertical="center"/>
    </xf>
    <xf numFmtId="0" fontId="14" fillId="0" borderId="39" xfId="0" applyFont="1" applyBorder="1" applyAlignment="1">
      <alignment vertical="center"/>
    </xf>
    <xf numFmtId="0" fontId="14" fillId="0" borderId="40" xfId="0" applyFont="1" applyBorder="1" applyAlignment="1">
      <alignment vertical="center"/>
    </xf>
    <xf numFmtId="0" fontId="13" fillId="0" borderId="32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3" fillId="0" borderId="50" xfId="0" applyFont="1" applyBorder="1" applyAlignment="1">
      <alignment horizontal="center" vertical="center"/>
    </xf>
    <xf numFmtId="0" fontId="13" fillId="0" borderId="66" xfId="0" applyFont="1" applyBorder="1" applyAlignment="1">
      <alignment horizontal="center" vertical="center"/>
    </xf>
    <xf numFmtId="0" fontId="20" fillId="0" borderId="0" xfId="0" applyFont="1"/>
    <xf numFmtId="165" fontId="13" fillId="0" borderId="0" xfId="1" applyNumberFormat="1" applyFont="1" applyBorder="1" applyAlignment="1">
      <alignment horizontal="center" vertical="center"/>
    </xf>
    <xf numFmtId="9" fontId="14" fillId="0" borderId="0" xfId="2" applyFont="1" applyFill="1" applyBorder="1" applyAlignment="1">
      <alignment horizontal="center" vertical="center"/>
    </xf>
    <xf numFmtId="165" fontId="14" fillId="0" borderId="48" xfId="0" applyNumberFormat="1" applyFont="1" applyBorder="1" applyAlignment="1">
      <alignment horizontal="center" vertical="center"/>
    </xf>
    <xf numFmtId="0" fontId="14" fillId="0" borderId="0" xfId="0" applyFont="1" applyAlignment="1">
      <alignment horizontal="center"/>
    </xf>
    <xf numFmtId="0" fontId="14" fillId="0" borderId="0" xfId="0" applyFont="1" applyAlignment="1">
      <alignment horizontal="right" vertical="center"/>
    </xf>
    <xf numFmtId="0" fontId="21" fillId="0" borderId="0" xfId="0" applyFont="1" applyAlignment="1">
      <alignment vertical="center"/>
    </xf>
    <xf numFmtId="165" fontId="14" fillId="0" borderId="0" xfId="0" applyNumberFormat="1" applyFont="1" applyAlignment="1">
      <alignment horizontal="left" vertical="center"/>
    </xf>
    <xf numFmtId="171" fontId="14" fillId="0" borderId="0" xfId="1" applyNumberFormat="1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 wrapText="1"/>
    </xf>
    <xf numFmtId="0" fontId="14" fillId="0" borderId="0" xfId="0" applyFont="1" applyAlignment="1">
      <alignment horizontal="left" vertical="top"/>
    </xf>
    <xf numFmtId="0" fontId="14" fillId="0" borderId="32" xfId="0" applyFont="1" applyBorder="1" applyAlignment="1">
      <alignment horizontal="center" vertical="center"/>
    </xf>
    <xf numFmtId="0" fontId="14" fillId="0" borderId="54" xfId="0" applyFont="1" applyBorder="1" applyAlignment="1">
      <alignment horizontal="center" vertical="center"/>
    </xf>
    <xf numFmtId="0" fontId="14" fillId="0" borderId="12" xfId="0" applyFont="1" applyBorder="1" applyAlignment="1">
      <alignment horizontal="right" vertical="center"/>
    </xf>
    <xf numFmtId="0" fontId="13" fillId="0" borderId="13" xfId="0" applyFont="1" applyBorder="1" applyAlignment="1">
      <alignment horizontal="center" vertical="center"/>
    </xf>
    <xf numFmtId="0" fontId="15" fillId="0" borderId="12" xfId="0" applyFont="1" applyBorder="1" applyAlignment="1">
      <alignment vertical="center"/>
    </xf>
    <xf numFmtId="0" fontId="15" fillId="0" borderId="12" xfId="0" applyFont="1" applyBorder="1" applyAlignment="1">
      <alignment vertical="center" wrapText="1"/>
    </xf>
    <xf numFmtId="0" fontId="15" fillId="0" borderId="10" xfId="0" applyFont="1" applyBorder="1" applyAlignment="1">
      <alignment vertical="center"/>
    </xf>
    <xf numFmtId="0" fontId="15" fillId="0" borderId="10" xfId="0" applyFont="1" applyBorder="1" applyAlignment="1">
      <alignment horizontal="center" vertical="center"/>
    </xf>
    <xf numFmtId="0" fontId="15" fillId="0" borderId="10" xfId="0" applyFont="1" applyBorder="1" applyAlignment="1">
      <alignment horizontal="right" vertical="center"/>
    </xf>
    <xf numFmtId="0" fontId="15" fillId="0" borderId="12" xfId="0" applyFont="1" applyBorder="1" applyAlignment="1">
      <alignment horizontal="center" vertical="center"/>
    </xf>
    <xf numFmtId="0" fontId="15" fillId="0" borderId="12" xfId="0" applyFont="1" applyBorder="1" applyAlignment="1">
      <alignment horizontal="right" vertical="center"/>
    </xf>
    <xf numFmtId="0" fontId="14" fillId="0" borderId="52" xfId="0" applyFont="1" applyBorder="1" applyAlignment="1">
      <alignment vertical="center"/>
    </xf>
    <xf numFmtId="0" fontId="15" fillId="0" borderId="43" xfId="0" applyFont="1" applyBorder="1" applyAlignment="1">
      <alignment horizontal="center" vertical="center"/>
    </xf>
    <xf numFmtId="0" fontId="15" fillId="0" borderId="43" xfId="0" applyFont="1" applyBorder="1" applyAlignment="1">
      <alignment vertical="center"/>
    </xf>
    <xf numFmtId="0" fontId="14" fillId="4" borderId="10" xfId="0" applyFont="1" applyFill="1" applyBorder="1" applyAlignment="1">
      <alignment vertical="center"/>
    </xf>
    <xf numFmtId="0" fontId="14" fillId="4" borderId="10" xfId="0" applyFont="1" applyFill="1" applyBorder="1" applyAlignment="1">
      <alignment horizontal="center" vertical="center" wrapText="1"/>
    </xf>
    <xf numFmtId="165" fontId="14" fillId="4" borderId="24" xfId="1" applyNumberFormat="1" applyFont="1" applyFill="1" applyBorder="1" applyAlignment="1">
      <alignment horizontal="right" vertical="center"/>
    </xf>
    <xf numFmtId="0" fontId="14" fillId="4" borderId="12" xfId="0" applyFont="1" applyFill="1" applyBorder="1" applyAlignment="1">
      <alignment horizontal="left" vertical="center" wrapText="1"/>
    </xf>
    <xf numFmtId="0" fontId="14" fillId="4" borderId="12" xfId="0" applyFont="1" applyFill="1" applyBorder="1" applyAlignment="1">
      <alignment vertical="center"/>
    </xf>
    <xf numFmtId="0" fontId="14" fillId="4" borderId="12" xfId="0" applyFont="1" applyFill="1" applyBorder="1" applyAlignment="1">
      <alignment horizontal="center" vertical="center" wrapText="1"/>
    </xf>
    <xf numFmtId="165" fontId="14" fillId="4" borderId="18" xfId="1" applyNumberFormat="1" applyFont="1" applyFill="1" applyBorder="1" applyAlignment="1">
      <alignment horizontal="right" vertical="center"/>
    </xf>
    <xf numFmtId="0" fontId="14" fillId="4" borderId="12" xfId="0" applyFont="1" applyFill="1" applyBorder="1" applyAlignment="1">
      <alignment horizontal="left" vertical="center"/>
    </xf>
    <xf numFmtId="165" fontId="14" fillId="4" borderId="12" xfId="0" applyNumberFormat="1" applyFont="1" applyFill="1" applyBorder="1" applyAlignment="1">
      <alignment horizontal="right" vertical="center" wrapText="1"/>
    </xf>
    <xf numFmtId="0" fontId="15" fillId="4" borderId="12" xfId="0" applyFont="1" applyFill="1" applyBorder="1" applyAlignment="1">
      <alignment vertical="center" wrapText="1"/>
    </xf>
    <xf numFmtId="0" fontId="15" fillId="4" borderId="12" xfId="0" applyFont="1" applyFill="1" applyBorder="1" applyAlignment="1">
      <alignment vertical="center"/>
    </xf>
    <xf numFmtId="0" fontId="15" fillId="4" borderId="12" xfId="0" applyFont="1" applyFill="1" applyBorder="1" applyAlignment="1">
      <alignment horizontal="center" vertical="center"/>
    </xf>
    <xf numFmtId="0" fontId="15" fillId="4" borderId="12" xfId="0" applyFont="1" applyFill="1" applyBorder="1" applyAlignment="1">
      <alignment horizontal="right" vertical="center"/>
    </xf>
    <xf numFmtId="0" fontId="15" fillId="4" borderId="43" xfId="0" applyFont="1" applyFill="1" applyBorder="1" applyAlignment="1">
      <alignment horizontal="center" vertical="center"/>
    </xf>
    <xf numFmtId="0" fontId="15" fillId="4" borderId="43" xfId="0" applyFont="1" applyFill="1" applyBorder="1" applyAlignment="1">
      <alignment horizontal="right" vertical="center"/>
    </xf>
    <xf numFmtId="0" fontId="14" fillId="4" borderId="12" xfId="0" applyFont="1" applyFill="1" applyBorder="1" applyAlignment="1">
      <alignment vertical="center" wrapText="1"/>
    </xf>
    <xf numFmtId="0" fontId="14" fillId="4" borderId="18" xfId="0" applyFont="1" applyFill="1" applyBorder="1" applyAlignment="1">
      <alignment vertical="center" wrapText="1"/>
    </xf>
    <xf numFmtId="0" fontId="14" fillId="4" borderId="23" xfId="0" applyFont="1" applyFill="1" applyBorder="1" applyAlignment="1">
      <alignment vertical="center" wrapText="1"/>
    </xf>
    <xf numFmtId="0" fontId="14" fillId="4" borderId="10" xfId="0" applyFont="1" applyFill="1" applyBorder="1" applyAlignment="1">
      <alignment horizontal="center" vertical="center"/>
    </xf>
    <xf numFmtId="0" fontId="14" fillId="4" borderId="12" xfId="0" applyFont="1" applyFill="1" applyBorder="1" applyAlignment="1">
      <alignment horizontal="center" vertical="center"/>
    </xf>
    <xf numFmtId="165" fontId="14" fillId="4" borderId="12" xfId="1" applyNumberFormat="1" applyFont="1" applyFill="1" applyBorder="1" applyAlignment="1">
      <alignment horizontal="center" vertical="center"/>
    </xf>
    <xf numFmtId="0" fontId="14" fillId="4" borderId="14" xfId="0" applyFont="1" applyFill="1" applyBorder="1" applyAlignment="1">
      <alignment horizontal="left" vertical="center"/>
    </xf>
    <xf numFmtId="0" fontId="14" fillId="4" borderId="43" xfId="0" applyFont="1" applyFill="1" applyBorder="1" applyAlignment="1">
      <alignment horizontal="left" vertical="center"/>
    </xf>
    <xf numFmtId="171" fontId="14" fillId="4" borderId="10" xfId="1" applyNumberFormat="1" applyFont="1" applyFill="1" applyBorder="1" applyAlignment="1">
      <alignment horizontal="center" vertical="center" wrapText="1"/>
    </xf>
    <xf numFmtId="1" fontId="14" fillId="4" borderId="25" xfId="0" applyNumberFormat="1" applyFont="1" applyFill="1" applyBorder="1" applyAlignment="1">
      <alignment horizontal="right" vertical="center"/>
    </xf>
    <xf numFmtId="171" fontId="14" fillId="4" borderId="12" xfId="1" applyNumberFormat="1" applyFont="1" applyFill="1" applyBorder="1" applyAlignment="1">
      <alignment horizontal="center" vertical="center" wrapText="1"/>
    </xf>
    <xf numFmtId="1" fontId="14" fillId="4" borderId="19" xfId="0" applyNumberFormat="1" applyFont="1" applyFill="1" applyBorder="1" applyAlignment="1">
      <alignment horizontal="right" vertical="center"/>
    </xf>
    <xf numFmtId="172" fontId="14" fillId="4" borderId="19" xfId="0" applyNumberFormat="1" applyFont="1" applyFill="1" applyBorder="1" applyAlignment="1">
      <alignment horizontal="right" vertical="center"/>
    </xf>
    <xf numFmtId="1" fontId="14" fillId="4" borderId="19" xfId="0" applyNumberFormat="1" applyFont="1" applyFill="1" applyBorder="1" applyAlignment="1">
      <alignment horizontal="right" vertical="center" wrapText="1"/>
    </xf>
    <xf numFmtId="0" fontId="14" fillId="4" borderId="14" xfId="0" applyFont="1" applyFill="1" applyBorder="1" applyAlignment="1">
      <alignment horizontal="center" vertical="center"/>
    </xf>
    <xf numFmtId="0" fontId="14" fillId="4" borderId="14" xfId="0" applyFont="1" applyFill="1" applyBorder="1" applyAlignment="1">
      <alignment horizontal="left" vertical="center" wrapText="1"/>
    </xf>
    <xf numFmtId="171" fontId="14" fillId="4" borderId="14" xfId="1" applyNumberFormat="1" applyFont="1" applyFill="1" applyBorder="1" applyAlignment="1">
      <alignment horizontal="center" vertical="center" wrapText="1"/>
    </xf>
    <xf numFmtId="1" fontId="14" fillId="4" borderId="21" xfId="0" applyNumberFormat="1" applyFont="1" applyFill="1" applyBorder="1" applyAlignment="1">
      <alignment horizontal="right" vertical="center"/>
    </xf>
    <xf numFmtId="0" fontId="14" fillId="4" borderId="10" xfId="0" applyFont="1" applyFill="1" applyBorder="1" applyAlignment="1">
      <alignment horizontal="left" vertical="center"/>
    </xf>
    <xf numFmtId="165" fontId="14" fillId="4" borderId="25" xfId="0" applyNumberFormat="1" applyFont="1" applyFill="1" applyBorder="1" applyAlignment="1">
      <alignment horizontal="left" vertical="center"/>
    </xf>
    <xf numFmtId="165" fontId="14" fillId="4" borderId="19" xfId="0" applyNumberFormat="1" applyFont="1" applyFill="1" applyBorder="1" applyAlignment="1">
      <alignment horizontal="left" vertical="center"/>
    </xf>
    <xf numFmtId="0" fontId="14" fillId="4" borderId="14" xfId="0" applyFont="1" applyFill="1" applyBorder="1" applyAlignment="1">
      <alignment horizontal="center" vertical="center" wrapText="1"/>
    </xf>
    <xf numFmtId="165" fontId="14" fillId="4" borderId="21" xfId="0" applyNumberFormat="1" applyFont="1" applyFill="1" applyBorder="1" applyAlignment="1">
      <alignment horizontal="left" vertical="center" wrapText="1"/>
    </xf>
    <xf numFmtId="0" fontId="14" fillId="4" borderId="43" xfId="0" applyFont="1" applyFill="1" applyBorder="1" applyAlignment="1">
      <alignment horizontal="center" vertical="center"/>
    </xf>
    <xf numFmtId="0" fontId="14" fillId="4" borderId="43" xfId="0" applyFont="1" applyFill="1" applyBorder="1" applyAlignment="1">
      <alignment horizontal="center" vertical="center" wrapText="1"/>
    </xf>
    <xf numFmtId="165" fontId="14" fillId="4" borderId="44" xfId="1" applyNumberFormat="1" applyFont="1" applyFill="1" applyBorder="1" applyAlignment="1">
      <alignment horizontal="center" vertical="center" wrapText="1"/>
    </xf>
    <xf numFmtId="165" fontId="19" fillId="4" borderId="19" xfId="1" applyNumberFormat="1" applyFont="1" applyFill="1" applyBorder="1" applyAlignment="1">
      <alignment horizontal="center" vertical="center" wrapText="1"/>
    </xf>
    <xf numFmtId="0" fontId="14" fillId="4" borderId="51" xfId="0" applyFont="1" applyFill="1" applyBorder="1" applyAlignment="1">
      <alignment horizontal="left" vertical="center"/>
    </xf>
    <xf numFmtId="165" fontId="14" fillId="4" borderId="19" xfId="1" applyNumberFormat="1" applyFont="1" applyFill="1" applyBorder="1" applyAlignment="1">
      <alignment horizontal="center" vertical="center" wrapText="1"/>
    </xf>
    <xf numFmtId="0" fontId="14" fillId="4" borderId="51" xfId="0" applyFont="1" applyFill="1" applyBorder="1" applyAlignment="1">
      <alignment horizontal="center" vertical="center"/>
    </xf>
    <xf numFmtId="0" fontId="14" fillId="4" borderId="62" xfId="0" applyFont="1" applyFill="1" applyBorder="1" applyAlignment="1">
      <alignment horizontal="left" vertical="center"/>
    </xf>
    <xf numFmtId="0" fontId="14" fillId="4" borderId="59" xfId="0" applyFont="1" applyFill="1" applyBorder="1" applyAlignment="1">
      <alignment horizontal="left" vertical="center"/>
    </xf>
    <xf numFmtId="0" fontId="14" fillId="4" borderId="51" xfId="0" applyFont="1" applyFill="1" applyBorder="1" applyAlignment="1">
      <alignment horizontal="center" vertical="center" wrapText="1"/>
    </xf>
    <xf numFmtId="165" fontId="14" fillId="4" borderId="50" xfId="1" applyNumberFormat="1" applyFont="1" applyFill="1" applyBorder="1" applyAlignment="1">
      <alignment horizontal="center" vertical="center" wrapText="1"/>
    </xf>
    <xf numFmtId="1" fontId="14" fillId="4" borderId="24" xfId="0" applyNumberFormat="1" applyFont="1" applyFill="1" applyBorder="1" applyAlignment="1">
      <alignment horizontal="right" vertical="center"/>
    </xf>
    <xf numFmtId="0" fontId="14" fillId="4" borderId="18" xfId="0" applyFont="1" applyFill="1" applyBorder="1" applyAlignment="1">
      <alignment horizontal="right" vertical="center"/>
    </xf>
    <xf numFmtId="165" fontId="14" fillId="4" borderId="52" xfId="0" applyNumberFormat="1" applyFont="1" applyFill="1" applyBorder="1" applyAlignment="1">
      <alignment horizontal="right" vertical="center"/>
    </xf>
    <xf numFmtId="1" fontId="14" fillId="4" borderId="18" xfId="0" applyNumberFormat="1" applyFont="1" applyFill="1" applyBorder="1" applyAlignment="1">
      <alignment horizontal="right" vertical="center"/>
    </xf>
    <xf numFmtId="165" fontId="14" fillId="4" borderId="23" xfId="0" applyNumberFormat="1" applyFont="1" applyFill="1" applyBorder="1" applyAlignment="1">
      <alignment horizontal="right" vertical="center"/>
    </xf>
    <xf numFmtId="0" fontId="14" fillId="4" borderId="0" xfId="0" applyFont="1" applyFill="1" applyAlignment="1">
      <alignment horizontal="left" vertical="center" wrapText="1"/>
    </xf>
    <xf numFmtId="0" fontId="15" fillId="5" borderId="0" xfId="0" applyFont="1" applyFill="1" applyAlignment="1">
      <alignment horizontal="left" vertical="center" wrapText="1"/>
    </xf>
    <xf numFmtId="0" fontId="14" fillId="4" borderId="0" xfId="0" applyFont="1" applyFill="1" applyAlignment="1">
      <alignment vertical="center"/>
    </xf>
    <xf numFmtId="0" fontId="14" fillId="4" borderId="0" xfId="0" applyFont="1" applyFill="1" applyAlignment="1">
      <alignment horizontal="left" vertical="center"/>
    </xf>
    <xf numFmtId="14" fontId="14" fillId="4" borderId="0" xfId="0" applyNumberFormat="1" applyFont="1" applyFill="1" applyAlignment="1">
      <alignment horizontal="left" vertical="center"/>
    </xf>
    <xf numFmtId="1" fontId="14" fillId="4" borderId="0" xfId="0" applyNumberFormat="1" applyFont="1" applyFill="1" applyAlignment="1">
      <alignment horizontal="left" vertical="center"/>
    </xf>
    <xf numFmtId="9" fontId="14" fillId="4" borderId="10" xfId="2" applyFont="1" applyFill="1" applyBorder="1" applyAlignment="1">
      <alignment horizontal="center" vertical="center" wrapText="1"/>
    </xf>
    <xf numFmtId="165" fontId="14" fillId="4" borderId="10" xfId="1" applyNumberFormat="1" applyFont="1" applyFill="1" applyBorder="1" applyAlignment="1">
      <alignment horizontal="center" vertical="center"/>
    </xf>
    <xf numFmtId="9" fontId="14" fillId="4" borderId="12" xfId="2" applyFont="1" applyFill="1" applyBorder="1" applyAlignment="1">
      <alignment horizontal="center" vertical="center" wrapText="1"/>
    </xf>
    <xf numFmtId="165" fontId="14" fillId="4" borderId="12" xfId="0" applyNumberFormat="1" applyFont="1" applyFill="1" applyBorder="1" applyAlignment="1">
      <alignment vertical="center"/>
    </xf>
    <xf numFmtId="0" fontId="14" fillId="4" borderId="62" xfId="0" applyFont="1" applyFill="1" applyBorder="1" applyAlignment="1">
      <alignment vertical="center"/>
    </xf>
    <xf numFmtId="9" fontId="14" fillId="4" borderId="62" xfId="2" applyFont="1" applyFill="1" applyBorder="1" applyAlignment="1">
      <alignment horizontal="center" vertical="center" wrapText="1"/>
    </xf>
    <xf numFmtId="165" fontId="14" fillId="4" borderId="62" xfId="0" applyNumberFormat="1" applyFont="1" applyFill="1" applyBorder="1" applyAlignment="1">
      <alignment vertical="center"/>
    </xf>
    <xf numFmtId="0" fontId="15" fillId="4" borderId="10" xfId="0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right" vertical="center"/>
    </xf>
    <xf numFmtId="9" fontId="14" fillId="4" borderId="10" xfId="2" applyFont="1" applyFill="1" applyBorder="1" applyAlignment="1">
      <alignment horizontal="center" vertical="center"/>
    </xf>
    <xf numFmtId="0" fontId="14" fillId="4" borderId="43" xfId="0" applyFont="1" applyFill="1" applyBorder="1" applyAlignment="1">
      <alignment horizontal="right" vertical="center"/>
    </xf>
    <xf numFmtId="9" fontId="14" fillId="4" borderId="62" xfId="2" applyFont="1" applyFill="1" applyBorder="1" applyAlignment="1">
      <alignment horizontal="center" vertical="center"/>
    </xf>
    <xf numFmtId="0" fontId="14" fillId="4" borderId="62" xfId="0" applyFont="1" applyFill="1" applyBorder="1" applyAlignment="1">
      <alignment horizontal="center" vertical="center"/>
    </xf>
    <xf numFmtId="0" fontId="14" fillId="4" borderId="62" xfId="0" applyFont="1" applyFill="1" applyBorder="1" applyAlignment="1">
      <alignment horizontal="right" vertical="center"/>
    </xf>
    <xf numFmtId="0" fontId="15" fillId="4" borderId="14" xfId="0" applyFont="1" applyFill="1" applyBorder="1" applyAlignment="1">
      <alignment vertical="center"/>
    </xf>
    <xf numFmtId="0" fontId="15" fillId="4" borderId="14" xfId="0" applyFont="1" applyFill="1" applyBorder="1" applyAlignment="1">
      <alignment horizontal="center" vertical="center" wrapText="1"/>
    </xf>
    <xf numFmtId="0" fontId="13" fillId="4" borderId="0" xfId="0" applyFont="1" applyFill="1" applyAlignment="1">
      <alignment vertical="center"/>
    </xf>
    <xf numFmtId="0" fontId="13" fillId="4" borderId="0" xfId="0" applyFont="1" applyFill="1" applyAlignment="1">
      <alignment horizontal="left" vertical="center"/>
    </xf>
    <xf numFmtId="166" fontId="14" fillId="4" borderId="0" xfId="0" applyNumberFormat="1" applyFont="1" applyFill="1" applyAlignment="1">
      <alignment horizontal="left" vertical="center"/>
    </xf>
    <xf numFmtId="1" fontId="14" fillId="4" borderId="0" xfId="0" applyNumberFormat="1" applyFont="1" applyFill="1" applyAlignment="1">
      <alignment vertical="center"/>
    </xf>
    <xf numFmtId="171" fontId="14" fillId="4" borderId="12" xfId="1" applyNumberFormat="1" applyFont="1" applyFill="1" applyBorder="1" applyAlignment="1">
      <alignment horizontal="center" vertical="center"/>
    </xf>
    <xf numFmtId="0" fontId="14" fillId="4" borderId="14" xfId="0" applyFont="1" applyFill="1" applyBorder="1" applyAlignment="1">
      <alignment vertical="center" wrapText="1"/>
    </xf>
    <xf numFmtId="9" fontId="14" fillId="4" borderId="14" xfId="2" applyFont="1" applyFill="1" applyBorder="1" applyAlignment="1">
      <alignment horizontal="center" vertical="center"/>
    </xf>
    <xf numFmtId="171" fontId="14" fillId="4" borderId="14" xfId="1" applyNumberFormat="1" applyFont="1" applyFill="1" applyBorder="1" applyAlignment="1">
      <alignment horizontal="center" vertical="center"/>
    </xf>
    <xf numFmtId="0" fontId="14" fillId="4" borderId="0" xfId="0" applyFont="1" applyFill="1" applyAlignment="1">
      <alignment vertical="center" wrapText="1"/>
    </xf>
    <xf numFmtId="169" fontId="14" fillId="4" borderId="12" xfId="2" applyNumberFormat="1" applyFont="1" applyFill="1" applyBorder="1" applyAlignment="1">
      <alignment horizontal="center" vertical="center" wrapText="1"/>
    </xf>
    <xf numFmtId="171" fontId="14" fillId="4" borderId="12" xfId="1" applyNumberFormat="1" applyFont="1" applyFill="1" applyBorder="1" applyAlignment="1">
      <alignment horizontal="left" vertical="center"/>
    </xf>
    <xf numFmtId="165" fontId="14" fillId="4" borderId="12" xfId="0" applyNumberFormat="1" applyFont="1" applyFill="1" applyBorder="1" applyAlignment="1">
      <alignment horizontal="center" vertical="center"/>
    </xf>
    <xf numFmtId="165" fontId="14" fillId="4" borderId="12" xfId="1" applyNumberFormat="1" applyFont="1" applyFill="1" applyBorder="1" applyAlignment="1">
      <alignment horizontal="left" vertical="center"/>
    </xf>
    <xf numFmtId="0" fontId="19" fillId="4" borderId="12" xfId="0" applyFont="1" applyFill="1" applyBorder="1" applyAlignment="1">
      <alignment horizontal="center" vertical="center" wrapText="1"/>
    </xf>
    <xf numFmtId="1" fontId="14" fillId="2" borderId="0" xfId="0" applyNumberFormat="1" applyFont="1" applyFill="1" applyAlignment="1">
      <alignment horizontal="left" vertical="center"/>
    </xf>
    <xf numFmtId="49" fontId="14" fillId="0" borderId="0" xfId="0" applyNumberFormat="1" applyFont="1" applyAlignment="1">
      <alignment horizontal="center" vertical="center" wrapText="1"/>
    </xf>
    <xf numFmtId="16" fontId="14" fillId="0" borderId="0" xfId="0" applyNumberFormat="1" applyFont="1" applyAlignment="1">
      <alignment horizontal="center" vertical="center" wrapText="1"/>
    </xf>
    <xf numFmtId="0" fontId="14" fillId="0" borderId="52" xfId="0" applyFont="1" applyBorder="1" applyAlignment="1">
      <alignment horizontal="center" vertical="center"/>
    </xf>
    <xf numFmtId="0" fontId="14" fillId="0" borderId="53" xfId="0" applyFont="1" applyBorder="1" applyAlignment="1">
      <alignment horizontal="center" vertical="center"/>
    </xf>
    <xf numFmtId="0" fontId="13" fillId="0" borderId="24" xfId="0" applyFont="1" applyBorder="1" applyAlignment="1">
      <alignment horizontal="center" vertical="center"/>
    </xf>
    <xf numFmtId="0" fontId="13" fillId="0" borderId="23" xfId="0" applyFont="1" applyBorder="1" applyAlignment="1">
      <alignment horizontal="center" vertical="center"/>
    </xf>
    <xf numFmtId="0" fontId="14" fillId="0" borderId="53" xfId="0" applyFont="1" applyBorder="1" applyAlignment="1">
      <alignment horizontal="left" vertical="center" wrapText="1"/>
    </xf>
    <xf numFmtId="0" fontId="14" fillId="0" borderId="18" xfId="0" applyFont="1" applyBorder="1" applyAlignment="1">
      <alignment horizontal="left" vertical="center"/>
    </xf>
    <xf numFmtId="0" fontId="14" fillId="0" borderId="52" xfId="0" applyFont="1" applyBorder="1" applyAlignment="1">
      <alignment horizontal="left" vertical="center"/>
    </xf>
    <xf numFmtId="0" fontId="14" fillId="0" borderId="23" xfId="0" applyFont="1" applyBorder="1" applyAlignment="1">
      <alignment horizontal="left" vertical="center"/>
    </xf>
    <xf numFmtId="0" fontId="14" fillId="0" borderId="51" xfId="0" applyFont="1" applyBorder="1" applyAlignment="1">
      <alignment horizontal="center" vertical="center"/>
    </xf>
    <xf numFmtId="0" fontId="14" fillId="0" borderId="43" xfId="0" applyFont="1" applyBorder="1" applyAlignment="1">
      <alignment horizontal="center" vertical="center"/>
    </xf>
    <xf numFmtId="0" fontId="13" fillId="0" borderId="64" xfId="0" applyFont="1" applyBorder="1" applyAlignment="1">
      <alignment horizontal="center" vertical="center"/>
    </xf>
    <xf numFmtId="0" fontId="13" fillId="0" borderId="22" xfId="0" applyFont="1" applyBorder="1" applyAlignment="1">
      <alignment horizontal="center" vertical="center"/>
    </xf>
    <xf numFmtId="165" fontId="14" fillId="4" borderId="14" xfId="1" applyNumberFormat="1" applyFont="1" applyFill="1" applyBorder="1" applyAlignment="1">
      <alignment horizontal="center" vertical="center"/>
    </xf>
    <xf numFmtId="168" fontId="14" fillId="4" borderId="21" xfId="1" applyNumberFormat="1" applyFont="1" applyFill="1" applyBorder="1" applyAlignment="1">
      <alignment horizontal="center" vertical="center"/>
    </xf>
    <xf numFmtId="168" fontId="14" fillId="4" borderId="31" xfId="1" applyNumberFormat="1" applyFont="1" applyFill="1" applyBorder="1" applyAlignment="1">
      <alignment horizontal="center" vertical="center"/>
    </xf>
    <xf numFmtId="0" fontId="13" fillId="0" borderId="9" xfId="0" applyFont="1" applyBorder="1" applyAlignment="1">
      <alignment horizontal="center" vertical="center" wrapText="1"/>
    </xf>
    <xf numFmtId="0" fontId="13" fillId="0" borderId="46" xfId="0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3" fillId="0" borderId="51" xfId="0" applyFont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/>
    </xf>
    <xf numFmtId="0" fontId="14" fillId="0" borderId="3" xfId="0" applyFont="1" applyBorder="1" applyAlignment="1">
      <alignment horizontal="left" vertical="center"/>
    </xf>
    <xf numFmtId="0" fontId="14" fillId="0" borderId="2" xfId="0" applyFont="1" applyBorder="1" applyAlignment="1">
      <alignment horizontal="left" vertical="center"/>
    </xf>
    <xf numFmtId="0" fontId="14" fillId="0" borderId="6" xfId="0" applyFont="1" applyBorder="1" applyAlignment="1">
      <alignment horizontal="left" vertical="center"/>
    </xf>
    <xf numFmtId="0" fontId="14" fillId="0" borderId="8" xfId="0" applyFont="1" applyBorder="1" applyAlignment="1">
      <alignment horizontal="left" vertical="center"/>
    </xf>
    <xf numFmtId="0" fontId="14" fillId="0" borderId="7" xfId="0" applyFont="1" applyBorder="1" applyAlignment="1">
      <alignment horizontal="left" vertical="center"/>
    </xf>
    <xf numFmtId="0" fontId="13" fillId="0" borderId="16" xfId="0" applyFont="1" applyBorder="1" applyAlignment="1">
      <alignment horizontal="center" vertical="center" wrapText="1"/>
    </xf>
    <xf numFmtId="0" fontId="13" fillId="0" borderId="62" xfId="0" applyFont="1" applyBorder="1" applyAlignment="1">
      <alignment horizontal="center" vertical="center" wrapText="1"/>
    </xf>
    <xf numFmtId="0" fontId="14" fillId="0" borderId="43" xfId="0" applyFont="1" applyBorder="1" applyAlignment="1">
      <alignment horizontal="left" vertical="center" wrapText="1"/>
    </xf>
    <xf numFmtId="0" fontId="14" fillId="0" borderId="12" xfId="0" applyFont="1" applyBorder="1" applyAlignment="1">
      <alignment horizontal="left" vertical="center"/>
    </xf>
    <xf numFmtId="0" fontId="14" fillId="0" borderId="51" xfId="0" applyFont="1" applyBorder="1" applyAlignment="1">
      <alignment horizontal="left" vertical="center"/>
    </xf>
    <xf numFmtId="0" fontId="14" fillId="0" borderId="14" xfId="0" applyFont="1" applyBorder="1" applyAlignment="1">
      <alignment horizontal="left" vertical="center"/>
    </xf>
    <xf numFmtId="0" fontId="14" fillId="4" borderId="9" xfId="0" applyFont="1" applyFill="1" applyBorder="1" applyAlignment="1">
      <alignment horizontal="center" vertical="center"/>
    </xf>
    <xf numFmtId="0" fontId="14" fillId="4" borderId="11" xfId="0" applyFont="1" applyFill="1" applyBorder="1" applyAlignment="1">
      <alignment horizontal="center" vertical="center"/>
    </xf>
    <xf numFmtId="0" fontId="14" fillId="4" borderId="46" xfId="0" applyFont="1" applyFill="1" applyBorder="1" applyAlignment="1">
      <alignment horizontal="center" vertical="center"/>
    </xf>
    <xf numFmtId="0" fontId="14" fillId="4" borderId="13" xfId="0" applyFont="1" applyFill="1" applyBorder="1" applyAlignment="1">
      <alignment horizontal="center" vertical="center"/>
    </xf>
    <xf numFmtId="0" fontId="14" fillId="4" borderId="51" xfId="0" applyFont="1" applyFill="1" applyBorder="1" applyAlignment="1">
      <alignment horizontal="center" vertical="center"/>
    </xf>
    <xf numFmtId="0" fontId="14" fillId="4" borderId="43" xfId="0" applyFont="1" applyFill="1" applyBorder="1" applyAlignment="1">
      <alignment horizontal="center" vertical="center"/>
    </xf>
    <xf numFmtId="0" fontId="13" fillId="0" borderId="25" xfId="0" applyFont="1" applyBorder="1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14" fillId="4" borderId="51" xfId="0" applyFont="1" applyFill="1" applyBorder="1" applyAlignment="1">
      <alignment horizontal="left" vertical="center" wrapText="1"/>
    </xf>
    <xf numFmtId="0" fontId="14" fillId="4" borderId="43" xfId="0" applyFont="1" applyFill="1" applyBorder="1" applyAlignment="1">
      <alignment horizontal="left" vertical="center" wrapText="1"/>
    </xf>
    <xf numFmtId="0" fontId="14" fillId="4" borderId="51" xfId="0" applyFont="1" applyFill="1" applyBorder="1" applyAlignment="1">
      <alignment horizontal="left" vertical="center"/>
    </xf>
    <xf numFmtId="0" fontId="14" fillId="4" borderId="43" xfId="0" applyFont="1" applyFill="1" applyBorder="1" applyAlignment="1">
      <alignment horizontal="left" vertical="center"/>
    </xf>
    <xf numFmtId="0" fontId="13" fillId="0" borderId="85" xfId="0" applyFont="1" applyBorder="1" applyAlignment="1">
      <alignment horizontal="center" vertical="center" wrapText="1"/>
    </xf>
    <xf numFmtId="0" fontId="13" fillId="0" borderId="86" xfId="0" applyFont="1" applyBorder="1" applyAlignment="1">
      <alignment horizontal="center" vertical="center" wrapText="1"/>
    </xf>
    <xf numFmtId="0" fontId="13" fillId="0" borderId="26" xfId="0" applyFont="1" applyBorder="1" applyAlignment="1">
      <alignment horizontal="center" vertical="center"/>
    </xf>
    <xf numFmtId="0" fontId="14" fillId="0" borderId="13" xfId="0" applyFont="1" applyBorder="1" applyAlignment="1">
      <alignment horizontal="center" vertical="center"/>
    </xf>
    <xf numFmtId="0" fontId="14" fillId="0" borderId="14" xfId="0" applyFont="1" applyBorder="1" applyAlignment="1">
      <alignment horizontal="center" vertical="center"/>
    </xf>
    <xf numFmtId="0" fontId="14" fillId="4" borderId="11" xfId="0" applyFont="1" applyFill="1" applyBorder="1" applyAlignment="1">
      <alignment horizontal="left" vertical="center"/>
    </xf>
    <xf numFmtId="0" fontId="14" fillId="4" borderId="12" xfId="0" applyFont="1" applyFill="1" applyBorder="1" applyAlignment="1">
      <alignment horizontal="left" vertical="center"/>
    </xf>
    <xf numFmtId="165" fontId="14" fillId="4" borderId="12" xfId="1" applyNumberFormat="1" applyFont="1" applyFill="1" applyBorder="1" applyAlignment="1">
      <alignment horizontal="center" vertical="center"/>
    </xf>
    <xf numFmtId="43" fontId="14" fillId="4" borderId="19" xfId="1" applyFont="1" applyFill="1" applyBorder="1" applyAlignment="1">
      <alignment horizontal="center" vertical="center"/>
    </xf>
    <xf numFmtId="43" fontId="14" fillId="4" borderId="29" xfId="1" applyFont="1" applyFill="1" applyBorder="1" applyAlignment="1">
      <alignment horizontal="center" vertical="center"/>
    </xf>
    <xf numFmtId="0" fontId="14" fillId="4" borderId="13" xfId="0" applyFont="1" applyFill="1" applyBorder="1" applyAlignment="1">
      <alignment horizontal="left" vertical="center"/>
    </xf>
    <xf numFmtId="0" fontId="14" fillId="4" borderId="14" xfId="0" applyFont="1" applyFill="1" applyBorder="1" applyAlignment="1">
      <alignment horizontal="left" vertical="center"/>
    </xf>
    <xf numFmtId="0" fontId="14" fillId="0" borderId="80" xfId="0" applyFont="1" applyBorder="1" applyAlignment="1">
      <alignment horizontal="left" vertical="center" wrapText="1"/>
    </xf>
    <xf numFmtId="0" fontId="14" fillId="0" borderId="22" xfId="0" applyFont="1" applyBorder="1" applyAlignment="1">
      <alignment horizontal="left" vertical="center" wrapText="1"/>
    </xf>
    <xf numFmtId="0" fontId="14" fillId="4" borderId="21" xfId="0" applyFont="1" applyFill="1" applyBorder="1" applyAlignment="1">
      <alignment horizontal="left" vertical="center" wrapText="1"/>
    </xf>
    <xf numFmtId="0" fontId="14" fillId="4" borderId="30" xfId="0" applyFont="1" applyFill="1" applyBorder="1" applyAlignment="1">
      <alignment horizontal="left" vertical="center" wrapText="1"/>
    </xf>
    <xf numFmtId="0" fontId="14" fillId="4" borderId="31" xfId="0" applyFont="1" applyFill="1" applyBorder="1" applyAlignment="1">
      <alignment horizontal="left" vertical="center" wrapText="1"/>
    </xf>
    <xf numFmtId="165" fontId="14" fillId="4" borderId="19" xfId="1" applyNumberFormat="1" applyFont="1" applyFill="1" applyBorder="1" applyAlignment="1">
      <alignment horizontal="center" vertical="center"/>
    </xf>
    <xf numFmtId="165" fontId="14" fillId="4" borderId="29" xfId="1" applyNumberFormat="1" applyFont="1" applyFill="1" applyBorder="1" applyAlignment="1">
      <alignment horizontal="center" vertical="center"/>
    </xf>
    <xf numFmtId="0" fontId="14" fillId="0" borderId="11" xfId="0" applyFont="1" applyBorder="1" applyAlignment="1">
      <alignment horizontal="center" vertical="center"/>
    </xf>
    <xf numFmtId="0" fontId="14" fillId="0" borderId="12" xfId="0" applyFont="1" applyBorder="1" applyAlignment="1">
      <alignment horizontal="center" vertical="center"/>
    </xf>
    <xf numFmtId="0" fontId="14" fillId="0" borderId="68" xfId="0" applyFont="1" applyBorder="1" applyAlignment="1">
      <alignment horizontal="left" vertical="center" wrapText="1"/>
    </xf>
    <xf numFmtId="0" fontId="14" fillId="0" borderId="20" xfId="0" applyFont="1" applyBorder="1" applyAlignment="1">
      <alignment horizontal="left" vertical="center" wrapText="1"/>
    </xf>
    <xf numFmtId="0" fontId="14" fillId="4" borderId="19" xfId="0" applyFont="1" applyFill="1" applyBorder="1" applyAlignment="1">
      <alignment horizontal="left" vertical="center" wrapText="1"/>
    </xf>
    <xf numFmtId="0" fontId="14" fillId="4" borderId="28" xfId="0" applyFont="1" applyFill="1" applyBorder="1" applyAlignment="1">
      <alignment horizontal="left" vertical="center" wrapText="1"/>
    </xf>
    <xf numFmtId="0" fontId="14" fillId="4" borderId="29" xfId="0" applyFont="1" applyFill="1" applyBorder="1" applyAlignment="1">
      <alignment horizontal="left" vertical="center" wrapText="1"/>
    </xf>
    <xf numFmtId="0" fontId="14" fillId="0" borderId="32" xfId="0" applyFont="1" applyBorder="1" applyAlignment="1">
      <alignment horizontal="center" vertical="center"/>
    </xf>
    <xf numFmtId="0" fontId="14" fillId="0" borderId="33" xfId="0" applyFont="1" applyBorder="1" applyAlignment="1">
      <alignment horizontal="center" vertical="center"/>
    </xf>
    <xf numFmtId="0" fontId="14" fillId="0" borderId="54" xfId="0" applyFont="1" applyBorder="1" applyAlignment="1">
      <alignment horizontal="center" vertical="center"/>
    </xf>
    <xf numFmtId="0" fontId="14" fillId="0" borderId="45" xfId="0" applyFont="1" applyBorder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4" fillId="0" borderId="67" xfId="0" applyFont="1" applyBorder="1" applyAlignment="1">
      <alignment horizontal="left" vertical="center" wrapText="1"/>
    </xf>
    <xf numFmtId="0" fontId="14" fillId="0" borderId="64" xfId="0" applyFont="1" applyBorder="1" applyAlignment="1">
      <alignment horizontal="left" vertical="center" wrapText="1"/>
    </xf>
    <xf numFmtId="0" fontId="14" fillId="4" borderId="25" xfId="0" applyFont="1" applyFill="1" applyBorder="1" applyAlignment="1">
      <alignment horizontal="left" vertical="center" wrapText="1"/>
    </xf>
    <xf numFmtId="0" fontId="14" fillId="4" borderId="26" xfId="0" applyFont="1" applyFill="1" applyBorder="1" applyAlignment="1">
      <alignment horizontal="left" vertical="center" wrapText="1"/>
    </xf>
    <xf numFmtId="0" fontId="14" fillId="4" borderId="27" xfId="0" applyFont="1" applyFill="1" applyBorder="1" applyAlignment="1">
      <alignment horizontal="left" vertical="center" wrapText="1"/>
    </xf>
    <xf numFmtId="0" fontId="14" fillId="4" borderId="10" xfId="0" applyFont="1" applyFill="1" applyBorder="1" applyAlignment="1">
      <alignment horizontal="center" vertical="center"/>
    </xf>
    <xf numFmtId="0" fontId="14" fillId="4" borderId="24" xfId="0" applyFont="1" applyFill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4" fillId="0" borderId="9" xfId="0" applyFont="1" applyBorder="1" applyAlignment="1">
      <alignment horizontal="left" vertical="center" wrapText="1"/>
    </xf>
    <xf numFmtId="0" fontId="14" fillId="0" borderId="10" xfId="0" applyFont="1" applyBorder="1" applyAlignment="1">
      <alignment horizontal="left" vertical="center" wrapText="1"/>
    </xf>
    <xf numFmtId="0" fontId="14" fillId="0" borderId="24" xfId="0" applyFont="1" applyBorder="1" applyAlignment="1">
      <alignment horizontal="left" vertical="center" wrapText="1"/>
    </xf>
    <xf numFmtId="0" fontId="14" fillId="0" borderId="11" xfId="0" applyFont="1" applyBorder="1" applyAlignment="1">
      <alignment horizontal="left" vertical="center" wrapText="1"/>
    </xf>
    <xf numFmtId="0" fontId="14" fillId="0" borderId="12" xfId="0" applyFont="1" applyBorder="1" applyAlignment="1">
      <alignment horizontal="left" vertical="center" wrapText="1"/>
    </xf>
    <xf numFmtId="0" fontId="14" fillId="0" borderId="18" xfId="0" applyFont="1" applyBorder="1" applyAlignment="1">
      <alignment horizontal="left" vertical="center" wrapText="1"/>
    </xf>
    <xf numFmtId="0" fontId="14" fillId="0" borderId="13" xfId="0" applyFont="1" applyBorder="1" applyAlignment="1">
      <alignment horizontal="left" vertical="center" wrapText="1"/>
    </xf>
    <xf numFmtId="0" fontId="14" fillId="0" borderId="14" xfId="0" applyFont="1" applyBorder="1" applyAlignment="1">
      <alignment horizontal="left" vertical="center" wrapText="1"/>
    </xf>
    <xf numFmtId="0" fontId="14" fillId="0" borderId="23" xfId="0" applyFont="1" applyBorder="1" applyAlignment="1">
      <alignment horizontal="left" vertical="center" wrapText="1"/>
    </xf>
    <xf numFmtId="0" fontId="14" fillId="0" borderId="0" xfId="0" applyFont="1" applyAlignment="1">
      <alignment horizontal="center" vertical="center" wrapText="1"/>
    </xf>
    <xf numFmtId="0" fontId="13" fillId="0" borderId="24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12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13" xfId="0" applyFont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 wrapText="1"/>
    </xf>
    <xf numFmtId="0" fontId="13" fillId="0" borderId="23" xfId="0" applyFont="1" applyBorder="1" applyAlignment="1">
      <alignment horizontal="center" vertical="center" wrapText="1"/>
    </xf>
    <xf numFmtId="0" fontId="14" fillId="0" borderId="64" xfId="0" applyFont="1" applyBorder="1" applyAlignment="1">
      <alignment horizontal="left" vertical="top" wrapText="1"/>
    </xf>
    <xf numFmtId="0" fontId="14" fillId="0" borderId="45" xfId="0" applyFont="1" applyBorder="1" applyAlignment="1">
      <alignment horizontal="left" vertical="top" wrapText="1"/>
    </xf>
    <xf numFmtId="0" fontId="14" fillId="0" borderId="20" xfId="0" applyFont="1" applyBorder="1" applyAlignment="1">
      <alignment horizontal="left" vertical="top"/>
    </xf>
    <xf numFmtId="0" fontId="14" fillId="0" borderId="33" xfId="0" applyFont="1" applyBorder="1" applyAlignment="1">
      <alignment horizontal="left" vertical="top"/>
    </xf>
    <xf numFmtId="0" fontId="14" fillId="0" borderId="22" xfId="0" applyFont="1" applyBorder="1" applyAlignment="1">
      <alignment horizontal="left" vertical="top"/>
    </xf>
    <xf numFmtId="0" fontId="14" fillId="0" borderId="24" xfId="0" applyFont="1" applyBorder="1" applyAlignment="1">
      <alignment horizontal="left" vertical="top" wrapText="1"/>
    </xf>
    <xf numFmtId="0" fontId="14" fillId="0" borderId="53" xfId="0" applyFont="1" applyBorder="1" applyAlignment="1">
      <alignment horizontal="left" vertical="top" wrapText="1"/>
    </xf>
    <xf numFmtId="0" fontId="14" fillId="0" borderId="18" xfId="0" applyFont="1" applyBorder="1" applyAlignment="1">
      <alignment horizontal="left" vertical="top"/>
    </xf>
    <xf numFmtId="0" fontId="14" fillId="0" borderId="52" xfId="0" applyFont="1" applyBorder="1" applyAlignment="1">
      <alignment horizontal="left" vertical="top"/>
    </xf>
    <xf numFmtId="0" fontId="14" fillId="0" borderId="23" xfId="0" applyFont="1" applyBorder="1" applyAlignment="1">
      <alignment horizontal="left" vertical="top"/>
    </xf>
    <xf numFmtId="0" fontId="14" fillId="0" borderId="0" xfId="0" applyFont="1" applyAlignment="1">
      <alignment horizontal="left" vertical="top"/>
    </xf>
    <xf numFmtId="165" fontId="14" fillId="0" borderId="0" xfId="1" applyNumberFormat="1" applyFont="1" applyBorder="1" applyAlignment="1">
      <alignment horizontal="center" vertical="top"/>
    </xf>
    <xf numFmtId="168" fontId="14" fillId="0" borderId="0" xfId="1" applyNumberFormat="1" applyFont="1" applyBorder="1" applyAlignment="1">
      <alignment horizontal="center" vertical="top"/>
    </xf>
    <xf numFmtId="0" fontId="14" fillId="4" borderId="12" xfId="0" applyFont="1" applyFill="1" applyBorder="1" applyAlignment="1">
      <alignment horizontal="center" vertical="center"/>
    </xf>
    <xf numFmtId="0" fontId="14" fillId="4" borderId="10" xfId="0" applyFont="1" applyFill="1" applyBorder="1" applyAlignment="1">
      <alignment horizontal="left" vertical="center" wrapText="1"/>
    </xf>
    <xf numFmtId="0" fontId="14" fillId="4" borderId="12" xfId="0" applyFont="1" applyFill="1" applyBorder="1" applyAlignment="1">
      <alignment horizontal="left" vertical="center" wrapText="1"/>
    </xf>
    <xf numFmtId="0" fontId="14" fillId="4" borderId="10" xfId="0" applyFont="1" applyFill="1" applyBorder="1" applyAlignment="1">
      <alignment vertical="center"/>
    </xf>
    <xf numFmtId="0" fontId="14" fillId="4" borderId="12" xfId="0" applyFont="1" applyFill="1" applyBorder="1" applyAlignment="1">
      <alignment vertical="center"/>
    </xf>
    <xf numFmtId="0" fontId="14" fillId="0" borderId="4" xfId="0" applyFont="1" applyBorder="1" applyAlignment="1">
      <alignment horizontal="left" vertical="center"/>
    </xf>
    <xf numFmtId="43" fontId="14" fillId="0" borderId="0" xfId="1" applyFont="1" applyBorder="1" applyAlignment="1">
      <alignment horizontal="center" vertical="top"/>
    </xf>
    <xf numFmtId="0" fontId="14" fillId="0" borderId="0" xfId="0" applyFont="1" applyAlignment="1">
      <alignment horizontal="center" vertical="center"/>
    </xf>
    <xf numFmtId="0" fontId="14" fillId="4" borderId="11" xfId="0" applyFont="1" applyFill="1" applyBorder="1" applyAlignment="1">
      <alignment horizontal="left" vertical="top"/>
    </xf>
    <xf numFmtId="0" fontId="14" fillId="4" borderId="12" xfId="0" applyFont="1" applyFill="1" applyBorder="1" applyAlignment="1">
      <alignment horizontal="left" vertical="top"/>
    </xf>
    <xf numFmtId="165" fontId="14" fillId="4" borderId="12" xfId="1" applyNumberFormat="1" applyFont="1" applyFill="1" applyBorder="1" applyAlignment="1">
      <alignment horizontal="center" vertical="top"/>
    </xf>
    <xf numFmtId="43" fontId="14" fillId="4" borderId="19" xfId="1" applyFont="1" applyFill="1" applyBorder="1" applyAlignment="1">
      <alignment horizontal="center" vertical="top"/>
    </xf>
    <xf numFmtId="43" fontId="14" fillId="4" borderId="29" xfId="1" applyFont="1" applyFill="1" applyBorder="1" applyAlignment="1">
      <alignment horizontal="center" vertical="top"/>
    </xf>
    <xf numFmtId="0" fontId="14" fillId="4" borderId="13" xfId="0" applyFont="1" applyFill="1" applyBorder="1" applyAlignment="1">
      <alignment horizontal="left" vertical="top"/>
    </xf>
    <xf numFmtId="0" fontId="14" fillId="4" borderId="14" xfId="0" applyFont="1" applyFill="1" applyBorder="1" applyAlignment="1">
      <alignment horizontal="left" vertical="top"/>
    </xf>
    <xf numFmtId="165" fontId="14" fillId="4" borderId="14" xfId="1" applyNumberFormat="1" applyFont="1" applyFill="1" applyBorder="1" applyAlignment="1">
      <alignment horizontal="center" vertical="top"/>
    </xf>
    <xf numFmtId="168" fontId="14" fillId="4" borderId="21" xfId="1" applyNumberFormat="1" applyFont="1" applyFill="1" applyBorder="1" applyAlignment="1">
      <alignment horizontal="center" vertical="top"/>
    </xf>
    <xf numFmtId="168" fontId="14" fillId="4" borderId="31" xfId="1" applyNumberFormat="1" applyFont="1" applyFill="1" applyBorder="1" applyAlignment="1">
      <alignment horizontal="center" vertical="top"/>
    </xf>
    <xf numFmtId="0" fontId="16" fillId="0" borderId="49" xfId="0" applyFont="1" applyBorder="1" applyAlignment="1">
      <alignment horizontal="left" vertical="center"/>
    </xf>
    <xf numFmtId="0" fontId="16" fillId="0" borderId="62" xfId="0" applyFont="1" applyBorder="1" applyAlignment="1">
      <alignment horizontal="left" vertical="center"/>
    </xf>
    <xf numFmtId="0" fontId="14" fillId="4" borderId="68" xfId="0" applyFont="1" applyFill="1" applyBorder="1" applyAlignment="1">
      <alignment horizontal="left" vertical="top"/>
    </xf>
    <xf numFmtId="0" fontId="14" fillId="4" borderId="20" xfId="0" applyFont="1" applyFill="1" applyBorder="1" applyAlignment="1">
      <alignment horizontal="left" vertical="top"/>
    </xf>
    <xf numFmtId="165" fontId="14" fillId="4" borderId="19" xfId="1" applyNumberFormat="1" applyFont="1" applyFill="1" applyBorder="1" applyAlignment="1">
      <alignment horizontal="center" vertical="top"/>
    </xf>
    <xf numFmtId="165" fontId="14" fillId="4" borderId="20" xfId="1" applyNumberFormat="1" applyFont="1" applyFill="1" applyBorder="1" applyAlignment="1">
      <alignment horizontal="center" vertical="top"/>
    </xf>
    <xf numFmtId="165" fontId="14" fillId="4" borderId="29" xfId="1" applyNumberFormat="1" applyFont="1" applyFill="1" applyBorder="1" applyAlignment="1">
      <alignment horizontal="center" vertical="top"/>
    </xf>
    <xf numFmtId="0" fontId="15" fillId="5" borderId="19" xfId="0" applyFont="1" applyFill="1" applyBorder="1" applyAlignment="1">
      <alignment horizontal="left" vertical="center" wrapText="1"/>
    </xf>
    <xf numFmtId="0" fontId="15" fillId="5" borderId="28" xfId="0" applyFont="1" applyFill="1" applyBorder="1" applyAlignment="1">
      <alignment horizontal="left" vertical="center" wrapText="1"/>
    </xf>
    <xf numFmtId="0" fontId="15" fillId="5" borderId="29" xfId="0" applyFont="1" applyFill="1" applyBorder="1" applyAlignment="1">
      <alignment horizontal="left" vertical="center" wrapText="1"/>
    </xf>
    <xf numFmtId="0" fontId="14" fillId="0" borderId="9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0" fontId="14" fillId="0" borderId="24" xfId="0" applyFont="1" applyBorder="1" applyAlignment="1">
      <alignment horizontal="center" vertical="center"/>
    </xf>
    <xf numFmtId="0" fontId="14" fillId="0" borderId="20" xfId="0" applyFont="1" applyBorder="1" applyAlignment="1">
      <alignment horizontal="left" vertical="center"/>
    </xf>
    <xf numFmtId="0" fontId="14" fillId="0" borderId="22" xfId="0" applyFont="1" applyBorder="1" applyAlignment="1">
      <alignment horizontal="left" vertical="center"/>
    </xf>
    <xf numFmtId="0" fontId="14" fillId="0" borderId="60" xfId="0" applyFont="1" applyBorder="1" applyAlignment="1">
      <alignment horizontal="left" vertical="center" wrapText="1"/>
    </xf>
    <xf numFmtId="0" fontId="14" fillId="0" borderId="60" xfId="0" applyFont="1" applyBorder="1" applyAlignment="1">
      <alignment horizontal="left" vertical="center"/>
    </xf>
    <xf numFmtId="0" fontId="14" fillId="0" borderId="58" xfId="0" applyFont="1" applyBorder="1" applyAlignment="1">
      <alignment horizontal="left" vertical="center" wrapText="1"/>
    </xf>
    <xf numFmtId="0" fontId="14" fillId="0" borderId="58" xfId="0" applyFont="1" applyBorder="1" applyAlignment="1">
      <alignment horizontal="left" vertical="center"/>
    </xf>
    <xf numFmtId="0" fontId="14" fillId="4" borderId="47" xfId="0" applyFont="1" applyFill="1" applyBorder="1" applyAlignment="1">
      <alignment horizontal="center" vertical="center"/>
    </xf>
    <xf numFmtId="0" fontId="19" fillId="4" borderId="51" xfId="0" applyFont="1" applyFill="1" applyBorder="1" applyAlignment="1">
      <alignment horizontal="left" vertical="center" wrapText="1"/>
    </xf>
    <xf numFmtId="0" fontId="19" fillId="4" borderId="62" xfId="0" applyFont="1" applyFill="1" applyBorder="1" applyAlignment="1">
      <alignment horizontal="left" vertical="center" wrapText="1"/>
    </xf>
    <xf numFmtId="0" fontId="14" fillId="4" borderId="62" xfId="0" applyFont="1" applyFill="1" applyBorder="1" applyAlignment="1">
      <alignment horizontal="left" vertical="center"/>
    </xf>
    <xf numFmtId="0" fontId="14" fillId="4" borderId="80" xfId="0" applyFont="1" applyFill="1" applyBorder="1" applyAlignment="1">
      <alignment horizontal="left" vertical="center" wrapText="1"/>
    </xf>
    <xf numFmtId="0" fontId="14" fillId="4" borderId="22" xfId="0" applyFont="1" applyFill="1" applyBorder="1" applyAlignment="1">
      <alignment horizontal="left" vertical="center" wrapText="1"/>
    </xf>
    <xf numFmtId="0" fontId="14" fillId="4" borderId="68" xfId="0" applyFont="1" applyFill="1" applyBorder="1" applyAlignment="1">
      <alignment horizontal="left" vertical="center" wrapText="1"/>
    </xf>
    <xf numFmtId="0" fontId="14" fillId="4" borderId="20" xfId="0" applyFont="1" applyFill="1" applyBorder="1" applyAlignment="1">
      <alignment horizontal="left" vertical="center" wrapText="1"/>
    </xf>
    <xf numFmtId="0" fontId="14" fillId="4" borderId="67" xfId="0" applyFont="1" applyFill="1" applyBorder="1" applyAlignment="1">
      <alignment horizontal="left" vertical="center" wrapText="1"/>
    </xf>
    <xf numFmtId="0" fontId="14" fillId="4" borderId="64" xfId="0" applyFont="1" applyFill="1" applyBorder="1" applyAlignment="1">
      <alignment horizontal="left" vertical="center" wrapText="1"/>
    </xf>
    <xf numFmtId="0" fontId="13" fillId="0" borderId="0" xfId="0" applyFont="1" applyAlignment="1">
      <alignment horizontal="center" vertical="center"/>
    </xf>
    <xf numFmtId="0" fontId="14" fillId="2" borderId="0" xfId="0" applyFont="1" applyFill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4" fillId="0" borderId="0" xfId="0" applyFont="1" applyAlignment="1">
      <alignment horizontal="left" vertical="center" wrapText="1"/>
    </xf>
    <xf numFmtId="165" fontId="14" fillId="0" borderId="0" xfId="1" applyNumberFormat="1" applyFont="1" applyBorder="1" applyAlignment="1">
      <alignment horizontal="center" vertical="center"/>
    </xf>
    <xf numFmtId="43" fontId="14" fillId="0" borderId="0" xfId="1" applyFont="1" applyBorder="1" applyAlignment="1">
      <alignment horizontal="center" vertical="center"/>
    </xf>
    <xf numFmtId="168" fontId="14" fillId="0" borderId="0" xfId="1" applyNumberFormat="1" applyFont="1" applyBorder="1" applyAlignment="1">
      <alignment horizontal="center" vertical="center"/>
    </xf>
    <xf numFmtId="39" fontId="14" fillId="0" borderId="0" xfId="1" applyNumberFormat="1" applyFont="1" applyBorder="1" applyAlignment="1">
      <alignment horizontal="center" vertical="center"/>
    </xf>
    <xf numFmtId="0" fontId="13" fillId="0" borderId="68" xfId="0" applyFont="1" applyBorder="1" applyAlignment="1">
      <alignment horizontal="center" vertical="center"/>
    </xf>
    <xf numFmtId="0" fontId="13" fillId="0" borderId="28" xfId="0" applyFont="1" applyBorder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0" fontId="13" fillId="2" borderId="19" xfId="0" applyFont="1" applyFill="1" applyBorder="1" applyAlignment="1">
      <alignment horizontal="center" vertical="center"/>
    </xf>
    <xf numFmtId="0" fontId="13" fillId="2" borderId="28" xfId="0" applyFont="1" applyFill="1" applyBorder="1" applyAlignment="1">
      <alignment horizontal="center" vertical="center"/>
    </xf>
    <xf numFmtId="0" fontId="13" fillId="2" borderId="20" xfId="0" applyFont="1" applyFill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29" xfId="0" applyFont="1" applyBorder="1" applyAlignment="1">
      <alignment horizontal="center" vertical="center"/>
    </xf>
    <xf numFmtId="170" fontId="13" fillId="0" borderId="80" xfId="0" applyNumberFormat="1" applyFont="1" applyBorder="1" applyAlignment="1">
      <alignment horizontal="center" vertical="center"/>
    </xf>
    <xf numFmtId="170" fontId="13" fillId="0" borderId="30" xfId="0" applyNumberFormat="1" applyFont="1" applyBorder="1" applyAlignment="1">
      <alignment horizontal="center" vertical="center"/>
    </xf>
    <xf numFmtId="170" fontId="13" fillId="0" borderId="22" xfId="0" applyNumberFormat="1" applyFont="1" applyBorder="1" applyAlignment="1">
      <alignment horizontal="center" vertical="center"/>
    </xf>
    <xf numFmtId="0" fontId="13" fillId="0" borderId="30" xfId="0" applyFont="1" applyBorder="1" applyAlignment="1">
      <alignment horizontal="center" vertical="center"/>
    </xf>
    <xf numFmtId="0" fontId="13" fillId="0" borderId="21" xfId="0" applyFont="1" applyBorder="1" applyAlignment="1">
      <alignment horizontal="center" vertical="center" wrapText="1"/>
    </xf>
    <xf numFmtId="0" fontId="13" fillId="0" borderId="30" xfId="0" applyFont="1" applyBorder="1" applyAlignment="1">
      <alignment horizontal="center" vertical="center" wrapText="1"/>
    </xf>
    <xf numFmtId="0" fontId="13" fillId="0" borderId="31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/>
    </xf>
    <xf numFmtId="0" fontId="13" fillId="0" borderId="3" xfId="0" applyFont="1" applyBorder="1" applyAlignment="1">
      <alignment horizontal="center" vertical="center"/>
    </xf>
    <xf numFmtId="0" fontId="13" fillId="0" borderId="42" xfId="0" applyFont="1" applyBorder="1" applyAlignment="1">
      <alignment horizontal="center" vertical="center"/>
    </xf>
    <xf numFmtId="0" fontId="13" fillId="0" borderId="54" xfId="0" applyFont="1" applyBorder="1" applyAlignment="1">
      <alignment horizontal="center" vertical="center"/>
    </xf>
    <xf numFmtId="0" fontId="13" fillId="0" borderId="55" xfId="0" applyFont="1" applyBorder="1" applyAlignment="1">
      <alignment horizontal="center" vertical="center"/>
    </xf>
    <xf numFmtId="0" fontId="13" fillId="0" borderId="45" xfId="0" applyFont="1" applyBorder="1" applyAlignment="1">
      <alignment horizontal="center" vertical="center"/>
    </xf>
    <xf numFmtId="9" fontId="13" fillId="0" borderId="10" xfId="2" applyFont="1" applyBorder="1" applyAlignment="1">
      <alignment horizontal="center" vertical="center"/>
    </xf>
    <xf numFmtId="9" fontId="13" fillId="0" borderId="10" xfId="2" applyFont="1" applyFill="1" applyBorder="1" applyAlignment="1">
      <alignment horizontal="center" vertical="center"/>
    </xf>
    <xf numFmtId="9" fontId="13" fillId="0" borderId="12" xfId="2" applyFont="1" applyBorder="1" applyAlignment="1">
      <alignment horizontal="center" vertical="center"/>
    </xf>
    <xf numFmtId="9" fontId="13" fillId="0" borderId="12" xfId="2" applyFont="1" applyFill="1" applyBorder="1" applyAlignment="1">
      <alignment horizontal="center" vertical="center"/>
    </xf>
    <xf numFmtId="0" fontId="13" fillId="0" borderId="41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44" xfId="0" applyFont="1" applyBorder="1" applyAlignment="1">
      <alignment horizontal="center" vertical="center"/>
    </xf>
    <xf numFmtId="0" fontId="13" fillId="0" borderId="56" xfId="0" applyFont="1" applyBorder="1" applyAlignment="1">
      <alignment horizontal="center" vertical="center"/>
    </xf>
    <xf numFmtId="0" fontId="13" fillId="0" borderId="32" xfId="0" applyFont="1" applyBorder="1" applyAlignment="1">
      <alignment horizontal="center" vertical="center"/>
    </xf>
    <xf numFmtId="0" fontId="13" fillId="0" borderId="65" xfId="0" applyFont="1" applyBorder="1" applyAlignment="1">
      <alignment horizontal="center" vertical="center"/>
    </xf>
    <xf numFmtId="0" fontId="13" fillId="0" borderId="33" xfId="0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0" fontId="13" fillId="0" borderId="58" xfId="0" applyFont="1" applyBorder="1" applyAlignment="1">
      <alignment horizontal="center" vertical="center"/>
    </xf>
    <xf numFmtId="0" fontId="13" fillId="0" borderId="50" xfId="0" applyFont="1" applyBorder="1" applyAlignment="1">
      <alignment horizontal="center" vertical="center"/>
    </xf>
    <xf numFmtId="0" fontId="13" fillId="0" borderId="57" xfId="0" applyFont="1" applyBorder="1" applyAlignment="1">
      <alignment horizontal="center" vertical="center"/>
    </xf>
    <xf numFmtId="0" fontId="13" fillId="0" borderId="50" xfId="0" applyFont="1" applyBorder="1" applyAlignment="1">
      <alignment horizontal="center" vertical="center" wrapText="1"/>
    </xf>
    <xf numFmtId="0" fontId="13" fillId="0" borderId="65" xfId="0" applyFont="1" applyBorder="1" applyAlignment="1">
      <alignment horizontal="center" vertical="center" wrapText="1"/>
    </xf>
    <xf numFmtId="0" fontId="13" fillId="0" borderId="66" xfId="0" applyFont="1" applyBorder="1" applyAlignment="1">
      <alignment horizontal="center" vertical="center" wrapText="1"/>
    </xf>
    <xf numFmtId="0" fontId="13" fillId="0" borderId="57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55" xfId="0" applyFont="1" applyBorder="1" applyAlignment="1">
      <alignment horizontal="center" vertical="center" wrapText="1"/>
    </xf>
    <xf numFmtId="0" fontId="13" fillId="0" borderId="56" xfId="0" applyFont="1" applyBorder="1" applyAlignment="1">
      <alignment horizontal="center" vertical="center" wrapText="1"/>
    </xf>
    <xf numFmtId="9" fontId="13" fillId="0" borderId="0" xfId="2" applyFont="1" applyFill="1" applyBorder="1" applyAlignment="1">
      <alignment horizontal="center" vertical="center"/>
    </xf>
    <xf numFmtId="165" fontId="14" fillId="0" borderId="0" xfId="0" applyNumberFormat="1" applyFont="1" applyAlignment="1">
      <alignment horizontal="left" vertical="center"/>
    </xf>
    <xf numFmtId="0" fontId="13" fillId="0" borderId="0" xfId="0" applyFont="1" applyAlignment="1">
      <alignment vertical="center"/>
    </xf>
    <xf numFmtId="0" fontId="13" fillId="0" borderId="0" xfId="0" applyFont="1" applyAlignment="1">
      <alignment horizontal="left" vertical="center" wrapText="1"/>
    </xf>
    <xf numFmtId="165" fontId="14" fillId="0" borderId="0" xfId="1" applyNumberFormat="1" applyFont="1" applyBorder="1" applyAlignment="1">
      <alignment horizontal="left" vertical="center" wrapText="1"/>
    </xf>
    <xf numFmtId="0" fontId="14" fillId="0" borderId="0" xfId="1" applyNumberFormat="1" applyFont="1" applyBorder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74" xfId="0" applyFont="1" applyBorder="1" applyAlignment="1">
      <alignment horizontal="center" vertical="center"/>
    </xf>
    <xf numFmtId="0" fontId="14" fillId="0" borderId="75" xfId="0" applyFont="1" applyBorder="1" applyAlignment="1">
      <alignment horizontal="center" vertical="center"/>
    </xf>
    <xf numFmtId="0" fontId="14" fillId="0" borderId="76" xfId="0" applyFont="1" applyBorder="1" applyAlignment="1">
      <alignment horizontal="center" vertical="center"/>
    </xf>
    <xf numFmtId="0" fontId="14" fillId="0" borderId="9" xfId="0" applyFont="1" applyBorder="1" applyAlignment="1">
      <alignment horizontal="center" vertical="center" wrapText="1"/>
    </xf>
    <xf numFmtId="0" fontId="14" fillId="0" borderId="10" xfId="0" applyFont="1" applyBorder="1" applyAlignment="1">
      <alignment horizontal="center" vertical="center" wrapText="1"/>
    </xf>
    <xf numFmtId="0" fontId="14" fillId="0" borderId="11" xfId="0" applyFont="1" applyBorder="1" applyAlignment="1">
      <alignment horizontal="center" vertical="center" wrapText="1"/>
    </xf>
    <xf numFmtId="0" fontId="14" fillId="0" borderId="12" xfId="0" applyFont="1" applyBorder="1" applyAlignment="1">
      <alignment horizontal="center" vertical="center" wrapText="1"/>
    </xf>
    <xf numFmtId="0" fontId="14" fillId="0" borderId="13" xfId="0" applyFont="1" applyBorder="1" applyAlignment="1">
      <alignment horizontal="center" vertical="center" wrapText="1"/>
    </xf>
    <xf numFmtId="0" fontId="14" fillId="0" borderId="1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/>
    </xf>
    <xf numFmtId="0" fontId="13" fillId="0" borderId="34" xfId="0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61" xfId="0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0" fontId="14" fillId="0" borderId="32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/>
    </xf>
    <xf numFmtId="0" fontId="14" fillId="0" borderId="58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3" fillId="0" borderId="12" xfId="0" applyFont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14" fillId="0" borderId="23" xfId="0" applyFont="1" applyBorder="1" applyAlignment="1">
      <alignment horizontal="center" vertical="center"/>
    </xf>
    <xf numFmtId="0" fontId="13" fillId="0" borderId="12" xfId="0" applyFont="1" applyBorder="1" applyAlignment="1">
      <alignment vertical="center"/>
    </xf>
    <xf numFmtId="0" fontId="14" fillId="0" borderId="18" xfId="0" applyFont="1" applyBorder="1" applyAlignment="1">
      <alignment horizontal="center" vertical="center" wrapText="1"/>
    </xf>
    <xf numFmtId="0" fontId="13" fillId="0" borderId="51" xfId="0" applyFont="1" applyBorder="1" applyAlignment="1">
      <alignment horizontal="center" vertical="center"/>
    </xf>
    <xf numFmtId="0" fontId="13" fillId="0" borderId="51" xfId="0" applyFont="1" applyBorder="1" applyAlignment="1">
      <alignment vertical="center"/>
    </xf>
    <xf numFmtId="0" fontId="14" fillId="0" borderId="50" xfId="0" applyFont="1" applyBorder="1" applyAlignment="1">
      <alignment horizontal="center" vertical="center" wrapText="1"/>
    </xf>
    <xf numFmtId="0" fontId="14" fillId="0" borderId="65" xfId="0" applyFont="1" applyBorder="1" applyAlignment="1">
      <alignment horizontal="center" vertical="center" wrapText="1"/>
    </xf>
    <xf numFmtId="0" fontId="14" fillId="0" borderId="66" xfId="0" applyFont="1" applyBorder="1" applyAlignment="1">
      <alignment horizontal="center" vertical="center" wrapText="1"/>
    </xf>
    <xf numFmtId="0" fontId="14" fillId="0" borderId="71" xfId="0" applyFont="1" applyBorder="1" applyAlignment="1">
      <alignment horizontal="center" vertical="center"/>
    </xf>
    <xf numFmtId="0" fontId="14" fillId="0" borderId="72" xfId="0" applyFont="1" applyBorder="1" applyAlignment="1">
      <alignment horizontal="center" vertical="center"/>
    </xf>
    <xf numFmtId="0" fontId="14" fillId="0" borderId="73" xfId="0" applyFont="1" applyBorder="1" applyAlignment="1">
      <alignment horizontal="center" vertical="center"/>
    </xf>
    <xf numFmtId="0" fontId="13" fillId="0" borderId="10" xfId="0" applyFont="1" applyBorder="1" applyAlignment="1">
      <alignment vertical="center"/>
    </xf>
    <xf numFmtId="0" fontId="13" fillId="0" borderId="27" xfId="0" applyFont="1" applyBorder="1" applyAlignment="1">
      <alignment horizontal="center" vertical="center"/>
    </xf>
    <xf numFmtId="0" fontId="13" fillId="0" borderId="69" xfId="0" applyFont="1" applyBorder="1" applyAlignment="1">
      <alignment horizontal="center" vertical="center"/>
    </xf>
    <xf numFmtId="0" fontId="13" fillId="0" borderId="70" xfId="0" applyFont="1" applyBorder="1" applyAlignment="1">
      <alignment horizontal="center" vertical="center"/>
    </xf>
    <xf numFmtId="0" fontId="14" fillId="0" borderId="77" xfId="0" applyFont="1" applyBorder="1" applyAlignment="1">
      <alignment horizontal="center" vertical="center" wrapText="1"/>
    </xf>
    <xf numFmtId="0" fontId="14" fillId="0" borderId="78" xfId="0" applyFont="1" applyBorder="1" applyAlignment="1">
      <alignment horizontal="center" vertical="center" wrapText="1"/>
    </xf>
    <xf numFmtId="0" fontId="14" fillId="0" borderId="79" xfId="0" applyFont="1" applyBorder="1" applyAlignment="1">
      <alignment horizontal="center" vertical="center" wrapText="1"/>
    </xf>
    <xf numFmtId="0" fontId="13" fillId="0" borderId="14" xfId="0" applyFont="1" applyBorder="1" applyAlignment="1">
      <alignment horizontal="center" vertical="center"/>
    </xf>
    <xf numFmtId="0" fontId="13" fillId="0" borderId="14" xfId="0" applyFont="1" applyBorder="1" applyAlignment="1">
      <alignment vertical="center"/>
    </xf>
    <xf numFmtId="0" fontId="14" fillId="0" borderId="23" xfId="0" applyFont="1" applyBorder="1" applyAlignment="1">
      <alignment horizontal="center" vertical="center" wrapText="1"/>
    </xf>
    <xf numFmtId="0" fontId="13" fillId="4" borderId="11" xfId="0" applyFont="1" applyFill="1" applyBorder="1" applyAlignment="1">
      <alignment horizontal="left" vertical="center"/>
    </xf>
    <xf numFmtId="0" fontId="13" fillId="4" borderId="12" xfId="0" applyFont="1" applyFill="1" applyBorder="1" applyAlignment="1">
      <alignment horizontal="left" vertical="center"/>
    </xf>
    <xf numFmtId="165" fontId="14" fillId="4" borderId="12" xfId="1" applyNumberFormat="1" applyFont="1" applyFill="1" applyBorder="1" applyAlignment="1">
      <alignment horizontal="right" vertical="center"/>
    </xf>
    <xf numFmtId="0" fontId="14" fillId="4" borderId="18" xfId="0" applyFont="1" applyFill="1" applyBorder="1" applyAlignment="1">
      <alignment horizontal="center" vertical="center"/>
    </xf>
    <xf numFmtId="0" fontId="22" fillId="4" borderId="13" xfId="0" applyFont="1" applyFill="1" applyBorder="1" applyAlignment="1">
      <alignment horizontal="left" vertical="center"/>
    </xf>
    <xf numFmtId="0" fontId="22" fillId="4" borderId="14" xfId="0" applyFont="1" applyFill="1" applyBorder="1" applyAlignment="1">
      <alignment horizontal="left" vertical="center"/>
    </xf>
    <xf numFmtId="165" fontId="14" fillId="4" borderId="14" xfId="1" applyNumberFormat="1" applyFont="1" applyFill="1" applyBorder="1" applyAlignment="1">
      <alignment horizontal="right" vertical="center"/>
    </xf>
    <xf numFmtId="0" fontId="14" fillId="4" borderId="14" xfId="0" applyFont="1" applyFill="1" applyBorder="1" applyAlignment="1">
      <alignment horizontal="center" vertical="center"/>
    </xf>
    <xf numFmtId="0" fontId="14" fillId="4" borderId="23" xfId="0" applyFont="1" applyFill="1" applyBorder="1" applyAlignment="1">
      <alignment horizontal="center" vertical="center"/>
    </xf>
    <xf numFmtId="0" fontId="13" fillId="0" borderId="9" xfId="0" applyFont="1" applyBorder="1" applyAlignment="1">
      <alignment horizontal="left" vertical="center" wrapText="1"/>
    </xf>
    <xf numFmtId="0" fontId="13" fillId="0" borderId="10" xfId="0" applyFont="1" applyBorder="1" applyAlignment="1">
      <alignment horizontal="left" vertical="center" wrapText="1"/>
    </xf>
    <xf numFmtId="0" fontId="13" fillId="0" borderId="24" xfId="0" applyFont="1" applyBorder="1" applyAlignment="1">
      <alignment horizontal="left" vertical="center" wrapText="1"/>
    </xf>
    <xf numFmtId="0" fontId="14" fillId="4" borderId="18" xfId="0" applyFont="1" applyFill="1" applyBorder="1" applyAlignment="1">
      <alignment horizontal="left" vertical="center"/>
    </xf>
    <xf numFmtId="0" fontId="14" fillId="0" borderId="11" xfId="0" applyFont="1" applyBorder="1" applyAlignment="1">
      <alignment horizontal="left" vertical="center"/>
    </xf>
    <xf numFmtId="0" fontId="14" fillId="0" borderId="13" xfId="0" applyFont="1" applyBorder="1" applyAlignment="1">
      <alignment horizontal="left" vertical="center"/>
    </xf>
    <xf numFmtId="0" fontId="14" fillId="4" borderId="0" xfId="0" applyFont="1" applyFill="1" applyAlignment="1">
      <alignment horizontal="left" vertical="center" wrapText="1"/>
    </xf>
    <xf numFmtId="0" fontId="14" fillId="0" borderId="25" xfId="0" applyFont="1" applyBorder="1" applyAlignment="1">
      <alignment horizontal="left" vertical="center" wrapText="1"/>
    </xf>
    <xf numFmtId="0" fontId="14" fillId="0" borderId="26" xfId="0" applyFont="1" applyBorder="1" applyAlignment="1">
      <alignment horizontal="left" vertical="center" wrapText="1"/>
    </xf>
    <xf numFmtId="0" fontId="14" fillId="0" borderId="27" xfId="0" applyFont="1" applyBorder="1" applyAlignment="1">
      <alignment horizontal="left" vertical="center" wrapText="1"/>
    </xf>
    <xf numFmtId="0" fontId="14" fillId="0" borderId="19" xfId="0" applyFont="1" applyBorder="1" applyAlignment="1">
      <alignment horizontal="left" vertical="center" wrapText="1"/>
    </xf>
    <xf numFmtId="0" fontId="14" fillId="0" borderId="28" xfId="0" applyFont="1" applyBorder="1" applyAlignment="1">
      <alignment horizontal="left" vertical="center" wrapText="1"/>
    </xf>
    <xf numFmtId="0" fontId="14" fillId="0" borderId="29" xfId="0" applyFont="1" applyBorder="1" applyAlignment="1">
      <alignment horizontal="left" vertical="center" wrapText="1"/>
    </xf>
    <xf numFmtId="0" fontId="14" fillId="0" borderId="21" xfId="0" applyFont="1" applyBorder="1" applyAlignment="1">
      <alignment horizontal="left" vertical="center" wrapText="1"/>
    </xf>
    <xf numFmtId="0" fontId="14" fillId="0" borderId="30" xfId="0" applyFont="1" applyBorder="1" applyAlignment="1">
      <alignment horizontal="left" vertical="center" wrapText="1"/>
    </xf>
    <xf numFmtId="0" fontId="14" fillId="0" borderId="31" xfId="0" applyFont="1" applyBorder="1" applyAlignment="1">
      <alignment horizontal="left" vertical="center" wrapText="1"/>
    </xf>
    <xf numFmtId="0" fontId="15" fillId="5" borderId="0" xfId="0" applyFont="1" applyFill="1" applyAlignment="1">
      <alignment horizontal="left" vertical="center" wrapText="1"/>
    </xf>
    <xf numFmtId="0" fontId="13" fillId="0" borderId="11" xfId="0" applyFont="1" applyBorder="1" applyAlignment="1">
      <alignment horizontal="left" vertical="center"/>
    </xf>
    <xf numFmtId="0" fontId="13" fillId="0" borderId="12" xfId="0" applyFont="1" applyBorder="1" applyAlignment="1">
      <alignment horizontal="left" vertical="center"/>
    </xf>
    <xf numFmtId="0" fontId="22" fillId="0" borderId="13" xfId="0" applyFont="1" applyBorder="1" applyAlignment="1">
      <alignment horizontal="left" vertical="center"/>
    </xf>
    <xf numFmtId="0" fontId="22" fillId="0" borderId="14" xfId="0" applyFont="1" applyBorder="1" applyAlignment="1">
      <alignment horizontal="left" vertical="center"/>
    </xf>
    <xf numFmtId="0" fontId="14" fillId="0" borderId="38" xfId="0" applyFont="1" applyBorder="1" applyAlignment="1">
      <alignment horizontal="center" vertical="center"/>
    </xf>
    <xf numFmtId="0" fontId="14" fillId="0" borderId="39" xfId="0" applyFont="1" applyBorder="1" applyAlignment="1">
      <alignment horizontal="center" vertical="center"/>
    </xf>
    <xf numFmtId="0" fontId="14" fillId="0" borderId="40" xfId="0" applyFont="1" applyBorder="1" applyAlignment="1">
      <alignment horizontal="center" vertical="center"/>
    </xf>
    <xf numFmtId="0" fontId="13" fillId="0" borderId="66" xfId="0" applyFont="1" applyBorder="1" applyAlignment="1">
      <alignment horizontal="center" vertical="center"/>
    </xf>
    <xf numFmtId="0" fontId="14" fillId="4" borderId="59" xfId="0" applyFont="1" applyFill="1" applyBorder="1" applyAlignment="1">
      <alignment horizontal="left" vertical="center"/>
    </xf>
    <xf numFmtId="0" fontId="14" fillId="4" borderId="60" xfId="0" applyFont="1" applyFill="1" applyBorder="1" applyAlignment="1">
      <alignment horizontal="left" vertical="center"/>
    </xf>
    <xf numFmtId="165" fontId="14" fillId="4" borderId="21" xfId="1" applyNumberFormat="1" applyFont="1" applyFill="1" applyBorder="1" applyAlignment="1">
      <alignment horizontal="right" vertical="center"/>
    </xf>
    <xf numFmtId="165" fontId="14" fillId="4" borderId="30" xfId="1" applyNumberFormat="1" applyFont="1" applyFill="1" applyBorder="1" applyAlignment="1">
      <alignment horizontal="right" vertical="center"/>
    </xf>
    <xf numFmtId="0" fontId="14" fillId="4" borderId="12" xfId="0" applyFont="1" applyFill="1" applyBorder="1" applyAlignment="1">
      <alignment horizontal="right" vertical="center"/>
    </xf>
    <xf numFmtId="0" fontId="13" fillId="0" borderId="46" xfId="0" applyFont="1" applyBorder="1" applyAlignment="1">
      <alignment horizontal="center" vertical="center"/>
    </xf>
    <xf numFmtId="0" fontId="13" fillId="0" borderId="52" xfId="0" applyFont="1" applyBorder="1" applyAlignment="1">
      <alignment horizontal="center" vertical="center"/>
    </xf>
    <xf numFmtId="0" fontId="13" fillId="0" borderId="48" xfId="0" applyFont="1" applyBorder="1" applyAlignment="1">
      <alignment horizontal="left" vertical="center"/>
    </xf>
    <xf numFmtId="0" fontId="13" fillId="0" borderId="43" xfId="0" applyFont="1" applyBorder="1" applyAlignment="1">
      <alignment horizontal="left" vertical="center"/>
    </xf>
    <xf numFmtId="0" fontId="14" fillId="4" borderId="53" xfId="0" applyFont="1" applyFill="1" applyBorder="1" applyAlignment="1">
      <alignment horizontal="center" vertical="center"/>
    </xf>
    <xf numFmtId="0" fontId="22" fillId="0" borderId="6" xfId="0" applyFont="1" applyBorder="1" applyAlignment="1">
      <alignment horizontal="left" vertical="center"/>
    </xf>
    <xf numFmtId="0" fontId="22" fillId="0" borderId="8" xfId="0" applyFont="1" applyBorder="1" applyAlignment="1">
      <alignment horizontal="left" vertical="center"/>
    </xf>
    <xf numFmtId="0" fontId="6" fillId="0" borderId="12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8" fillId="0" borderId="50" xfId="0" applyFont="1" applyBorder="1" applyAlignment="1">
      <alignment horizontal="center" vertical="center"/>
    </xf>
    <xf numFmtId="0" fontId="8" fillId="0" borderId="66" xfId="0" applyFont="1" applyBorder="1" applyAlignment="1">
      <alignment horizontal="center" vertical="center"/>
    </xf>
    <xf numFmtId="0" fontId="8" fillId="0" borderId="57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8" fillId="0" borderId="61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 wrapText="1"/>
    </xf>
    <xf numFmtId="0" fontId="6" fillId="0" borderId="3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8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9" xfId="0" applyFont="1" applyBorder="1" applyAlignment="1">
      <alignment horizontal="center" vertical="center" wrapText="1"/>
    </xf>
    <xf numFmtId="0" fontId="8" fillId="0" borderId="10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8" fillId="0" borderId="10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4" fillId="0" borderId="71" xfId="0" applyFont="1" applyBorder="1" applyAlignment="1">
      <alignment horizontal="center" vertical="center"/>
    </xf>
    <xf numFmtId="0" fontId="4" fillId="0" borderId="72" xfId="0" applyFont="1" applyBorder="1" applyAlignment="1">
      <alignment horizontal="center" vertical="center"/>
    </xf>
    <xf numFmtId="0" fontId="4" fillId="0" borderId="73" xfId="0" applyFont="1" applyBorder="1" applyAlignment="1">
      <alignment horizontal="center" vertical="center"/>
    </xf>
    <xf numFmtId="0" fontId="4" fillId="0" borderId="74" xfId="0" applyFont="1" applyBorder="1" applyAlignment="1">
      <alignment horizontal="center" vertical="center"/>
    </xf>
    <xf numFmtId="0" fontId="4" fillId="0" borderId="75" xfId="0" applyFont="1" applyBorder="1" applyAlignment="1">
      <alignment horizontal="center" vertical="center"/>
    </xf>
    <xf numFmtId="0" fontId="4" fillId="0" borderId="76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 wrapText="1"/>
    </xf>
    <xf numFmtId="0" fontId="6" fillId="0" borderId="65" xfId="0" applyFont="1" applyBorder="1" applyAlignment="1">
      <alignment horizontal="center" vertical="center" wrapText="1"/>
    </xf>
    <xf numFmtId="0" fontId="6" fillId="0" borderId="66" xfId="0" applyFont="1" applyBorder="1" applyAlignment="1">
      <alignment horizontal="center" vertical="center" wrapText="1"/>
    </xf>
    <xf numFmtId="0" fontId="8" fillId="0" borderId="12" xfId="0" applyFont="1" applyBorder="1" applyAlignment="1">
      <alignment vertical="center"/>
    </xf>
    <xf numFmtId="0" fontId="6" fillId="0" borderId="12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7" fillId="0" borderId="14" xfId="0" applyFont="1" applyBorder="1" applyAlignment="1">
      <alignment horizontal="center" vertical="center" wrapText="1"/>
    </xf>
    <xf numFmtId="0" fontId="8" fillId="0" borderId="32" xfId="0" applyFont="1" applyBorder="1" applyAlignment="1">
      <alignment horizontal="center" vertical="center"/>
    </xf>
    <xf numFmtId="0" fontId="8" fillId="0" borderId="33" xfId="0" applyFont="1" applyBorder="1" applyAlignment="1">
      <alignment horizontal="center" vertical="center"/>
    </xf>
    <xf numFmtId="0" fontId="8" fillId="0" borderId="58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8" fillId="0" borderId="34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8" fillId="0" borderId="69" xfId="0" applyFont="1" applyBorder="1" applyAlignment="1">
      <alignment horizontal="center" vertical="center"/>
    </xf>
    <xf numFmtId="0" fontId="8" fillId="0" borderId="70" xfId="0" applyFont="1" applyBorder="1" applyAlignment="1">
      <alignment horizontal="center" vertical="center"/>
    </xf>
    <xf numFmtId="0" fontId="6" fillId="0" borderId="77" xfId="0" applyFont="1" applyBorder="1" applyAlignment="1">
      <alignment horizontal="center" vertical="center" wrapText="1"/>
    </xf>
    <xf numFmtId="0" fontId="6" fillId="0" borderId="78" xfId="0" applyFont="1" applyBorder="1" applyAlignment="1">
      <alignment horizontal="center" vertical="center" wrapText="1"/>
    </xf>
    <xf numFmtId="0" fontId="6" fillId="0" borderId="79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6" fillId="0" borderId="0" xfId="0" applyFont="1" applyAlignment="1">
      <alignment horizontal="center" vertical="center" wrapText="1"/>
    </xf>
    <xf numFmtId="0" fontId="8" fillId="0" borderId="51" xfId="0" applyFont="1" applyBorder="1" applyAlignment="1">
      <alignment horizontal="center" vertical="center"/>
    </xf>
    <xf numFmtId="0" fontId="8" fillId="0" borderId="51" xfId="0" applyFont="1" applyBorder="1" applyAlignment="1">
      <alignment vertical="center"/>
    </xf>
    <xf numFmtId="0" fontId="8" fillId="0" borderId="9" xfId="0" applyFont="1" applyBorder="1" applyAlignment="1">
      <alignment horizontal="center" vertical="center"/>
    </xf>
    <xf numFmtId="0" fontId="8" fillId="0" borderId="10" xfId="0" applyFont="1" applyBorder="1" applyAlignment="1">
      <alignment vertical="center"/>
    </xf>
    <xf numFmtId="0" fontId="8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vertical="center"/>
    </xf>
    <xf numFmtId="0" fontId="6" fillId="0" borderId="14" xfId="0" applyFont="1" applyBorder="1" applyAlignment="1">
      <alignment horizontal="center" vertical="center" wrapText="1"/>
    </xf>
    <xf numFmtId="0" fontId="6" fillId="0" borderId="23" xfId="0" applyFont="1" applyBorder="1" applyAlignment="1">
      <alignment horizontal="center" vertical="center" wrapText="1"/>
    </xf>
    <xf numFmtId="0" fontId="8" fillId="0" borderId="11" xfId="0" applyFont="1" applyBorder="1" applyAlignment="1">
      <alignment horizontal="left" vertical="center"/>
    </xf>
    <xf numFmtId="0" fontId="8" fillId="0" borderId="12" xfId="0" applyFont="1" applyBorder="1" applyAlignment="1">
      <alignment horizontal="left" vertical="center"/>
    </xf>
    <xf numFmtId="165" fontId="6" fillId="0" borderId="12" xfId="1" applyNumberFormat="1" applyFont="1" applyBorder="1" applyAlignment="1">
      <alignment horizontal="right" vertical="center"/>
    </xf>
    <xf numFmtId="0" fontId="8" fillId="0" borderId="13" xfId="0" applyFont="1" applyBorder="1" applyAlignment="1">
      <alignment horizontal="left" vertical="center"/>
    </xf>
    <xf numFmtId="0" fontId="8" fillId="0" borderId="14" xfId="0" applyFont="1" applyBorder="1" applyAlignment="1">
      <alignment horizontal="left" vertical="center"/>
    </xf>
    <xf numFmtId="165" fontId="6" fillId="0" borderId="14" xfId="1" applyNumberFormat="1" applyFont="1" applyBorder="1" applyAlignment="1">
      <alignment horizontal="right" vertical="center"/>
    </xf>
    <xf numFmtId="0" fontId="3" fillId="0" borderId="9" xfId="0" applyFont="1" applyBorder="1" applyAlignment="1">
      <alignment horizontal="left" vertical="center" wrapText="1"/>
    </xf>
    <xf numFmtId="0" fontId="3" fillId="0" borderId="10" xfId="0" applyFont="1" applyBorder="1" applyAlignment="1">
      <alignment horizontal="left" vertical="center" wrapText="1"/>
    </xf>
    <xf numFmtId="0" fontId="3" fillId="0" borderId="24" xfId="0" applyFont="1" applyBorder="1" applyAlignment="1">
      <alignment horizontal="left" vertical="center" wrapText="1"/>
    </xf>
    <xf numFmtId="0" fontId="6" fillId="0" borderId="12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0" fontId="8" fillId="0" borderId="46" xfId="0" applyFont="1" applyBorder="1" applyAlignment="1">
      <alignment horizontal="center" vertical="center"/>
    </xf>
    <xf numFmtId="0" fontId="8" fillId="0" borderId="52" xfId="0" applyFont="1" applyBorder="1" applyAlignment="1">
      <alignment horizontal="center" vertical="center"/>
    </xf>
    <xf numFmtId="0" fontId="6" fillId="0" borderId="11" xfId="0" applyFont="1" applyBorder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6" fillId="0" borderId="14" xfId="0" applyFont="1" applyBorder="1" applyAlignment="1">
      <alignment horizontal="left" vertical="center"/>
    </xf>
    <xf numFmtId="0" fontId="8" fillId="0" borderId="23" xfId="0" applyFont="1" applyBorder="1" applyAlignment="1">
      <alignment horizontal="center" vertical="center"/>
    </xf>
    <xf numFmtId="0" fontId="6" fillId="0" borderId="0" xfId="0" applyFont="1" applyAlignment="1">
      <alignment horizontal="left" vertical="center" wrapText="1"/>
    </xf>
    <xf numFmtId="0" fontId="6" fillId="0" borderId="9" xfId="0" applyFont="1" applyBorder="1" applyAlignment="1">
      <alignment horizontal="center" vertical="center"/>
    </xf>
    <xf numFmtId="0" fontId="6" fillId="0" borderId="10" xfId="0" applyFont="1" applyBorder="1" applyAlignment="1">
      <alignment horizontal="center" vertical="center"/>
    </xf>
    <xf numFmtId="0" fontId="4" fillId="0" borderId="25" xfId="0" applyFont="1" applyBorder="1" applyAlignment="1">
      <alignment horizontal="left" vertical="center" wrapText="1"/>
    </xf>
    <xf numFmtId="0" fontId="4" fillId="0" borderId="26" xfId="0" applyFont="1" applyBorder="1" applyAlignment="1">
      <alignment horizontal="left" vertical="center" wrapText="1"/>
    </xf>
    <xf numFmtId="0" fontId="4" fillId="0" borderId="27" xfId="0" applyFont="1" applyBorder="1" applyAlignment="1">
      <alignment horizontal="left" vertical="center" wrapText="1"/>
    </xf>
    <xf numFmtId="0" fontId="4" fillId="0" borderId="19" xfId="0" applyFont="1" applyBorder="1" applyAlignment="1">
      <alignment horizontal="left"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29" xfId="0" applyFont="1" applyBorder="1" applyAlignment="1">
      <alignment horizontal="left" vertical="center" wrapText="1"/>
    </xf>
    <xf numFmtId="0" fontId="4" fillId="0" borderId="21" xfId="0" applyFont="1" applyBorder="1" applyAlignment="1">
      <alignment horizontal="left" vertical="center" wrapText="1"/>
    </xf>
    <xf numFmtId="0" fontId="4" fillId="0" borderId="30" xfId="0" applyFont="1" applyBorder="1" applyAlignment="1">
      <alignment horizontal="left" vertical="center" wrapText="1"/>
    </xf>
    <xf numFmtId="0" fontId="4" fillId="0" borderId="31" xfId="0" applyFont="1" applyBorder="1" applyAlignment="1">
      <alignment horizontal="left" vertical="center" wrapText="1"/>
    </xf>
    <xf numFmtId="0" fontId="9" fillId="3" borderId="0" xfId="0" applyFont="1" applyFill="1" applyAlignment="1">
      <alignment horizontal="left" vertical="center" wrapText="1"/>
    </xf>
    <xf numFmtId="0" fontId="14" fillId="0" borderId="19" xfId="0" applyFont="1" applyBorder="1" applyAlignment="1">
      <alignment horizontal="left" vertical="center"/>
    </xf>
    <xf numFmtId="0" fontId="14" fillId="2" borderId="51" xfId="0" applyFont="1" applyFill="1" applyBorder="1" applyAlignment="1">
      <alignment horizontal="left" vertical="center" wrapText="1"/>
    </xf>
    <xf numFmtId="0" fontId="14" fillId="2" borderId="59" xfId="0" applyFont="1" applyFill="1" applyBorder="1" applyAlignment="1">
      <alignment horizontal="left" vertical="center"/>
    </xf>
    <xf numFmtId="0" fontId="14" fillId="2" borderId="62" xfId="0" applyFont="1" applyFill="1" applyBorder="1" applyAlignment="1">
      <alignment horizontal="left" vertical="center"/>
    </xf>
    <xf numFmtId="0" fontId="14" fillId="2" borderId="51" xfId="0" applyFont="1" applyFill="1" applyBorder="1" applyAlignment="1">
      <alignment horizontal="center" vertical="center"/>
    </xf>
    <xf numFmtId="0" fontId="14" fillId="2" borderId="59" xfId="0" applyFont="1" applyFill="1" applyBorder="1" applyAlignment="1">
      <alignment horizontal="center" vertical="center"/>
    </xf>
    <xf numFmtId="0" fontId="14" fillId="2" borderId="62" xfId="0" applyFont="1" applyFill="1" applyBorder="1" applyAlignment="1">
      <alignment horizontal="center" vertical="center"/>
    </xf>
    <xf numFmtId="0" fontId="14" fillId="0" borderId="65" xfId="0" applyFont="1" applyBorder="1" applyAlignment="1">
      <alignment horizontal="center" vertical="center"/>
    </xf>
    <xf numFmtId="0" fontId="14" fillId="0" borderId="8" xfId="0" applyFont="1" applyBorder="1" applyAlignment="1">
      <alignment horizontal="center" vertical="center"/>
    </xf>
    <xf numFmtId="0" fontId="14" fillId="0" borderId="50" xfId="0" applyFont="1" applyBorder="1" applyAlignment="1">
      <alignment horizontal="center" vertical="center"/>
    </xf>
    <xf numFmtId="0" fontId="14" fillId="0" borderId="66" xfId="0" applyFont="1" applyBorder="1" applyAlignment="1">
      <alignment horizontal="center" vertical="center"/>
    </xf>
    <xf numFmtId="0" fontId="14" fillId="0" borderId="57" xfId="0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0" fontId="14" fillId="0" borderId="61" xfId="0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4" fillId="0" borderId="47" xfId="0" applyFont="1" applyBorder="1" applyAlignment="1">
      <alignment horizontal="center" vertical="center"/>
    </xf>
    <xf numFmtId="0" fontId="14" fillId="0" borderId="49" xfId="0" applyFont="1" applyBorder="1" applyAlignment="1">
      <alignment horizontal="center" vertical="center"/>
    </xf>
    <xf numFmtId="0" fontId="14" fillId="0" borderId="46" xfId="0" applyFont="1" applyBorder="1" applyAlignment="1">
      <alignment horizontal="center" vertical="center"/>
    </xf>
    <xf numFmtId="0" fontId="13" fillId="0" borderId="67" xfId="0" applyFont="1" applyBorder="1" applyAlignment="1">
      <alignment horizontal="center" vertical="center"/>
    </xf>
    <xf numFmtId="0" fontId="14" fillId="2" borderId="52" xfId="0" applyFont="1" applyFill="1" applyBorder="1" applyAlignment="1">
      <alignment horizontal="center" vertical="center"/>
    </xf>
    <xf numFmtId="0" fontId="14" fillId="2" borderId="60" xfId="0" applyFont="1" applyFill="1" applyBorder="1" applyAlignment="1">
      <alignment horizontal="center" vertical="center"/>
    </xf>
    <xf numFmtId="0" fontId="14" fillId="2" borderId="63" xfId="0" applyFont="1" applyFill="1" applyBorder="1" applyAlignment="1">
      <alignment horizontal="center" vertical="center"/>
    </xf>
    <xf numFmtId="0" fontId="14" fillId="0" borderId="50" xfId="0" applyFont="1" applyBorder="1" applyAlignment="1">
      <alignment horizontal="left" vertical="center"/>
    </xf>
    <xf numFmtId="0" fontId="14" fillId="0" borderId="33" xfId="0" applyFont="1" applyBorder="1" applyAlignment="1">
      <alignment horizontal="left" vertical="center"/>
    </xf>
    <xf numFmtId="0" fontId="14" fillId="0" borderId="57" xfId="0" applyFont="1" applyBorder="1" applyAlignment="1">
      <alignment horizontal="left" vertical="center"/>
    </xf>
    <xf numFmtId="0" fontId="14" fillId="0" borderId="61" xfId="0" applyFont="1" applyBorder="1" applyAlignment="1">
      <alignment horizontal="left" vertical="center"/>
    </xf>
    <xf numFmtId="0" fontId="14" fillId="0" borderId="34" xfId="0" applyFont="1" applyBorder="1" applyAlignment="1">
      <alignment horizontal="left" vertical="center"/>
    </xf>
    <xf numFmtId="0" fontId="13" fillId="0" borderId="35" xfId="0" applyFont="1" applyBorder="1" applyAlignment="1">
      <alignment horizontal="center" vertical="center"/>
    </xf>
    <xf numFmtId="0" fontId="13" fillId="0" borderId="36" xfId="0" applyFont="1" applyBorder="1" applyAlignment="1">
      <alignment horizontal="center" vertical="center"/>
    </xf>
    <xf numFmtId="0" fontId="13" fillId="0" borderId="37" xfId="0" applyFont="1" applyBorder="1" applyAlignment="1">
      <alignment horizontal="center" vertical="center"/>
    </xf>
    <xf numFmtId="0" fontId="13" fillId="0" borderId="38" xfId="0" applyFont="1" applyBorder="1" applyAlignment="1">
      <alignment horizontal="center" vertical="center"/>
    </xf>
    <xf numFmtId="0" fontId="13" fillId="0" borderId="39" xfId="0" applyFont="1" applyBorder="1" applyAlignment="1">
      <alignment horizontal="center" vertical="center"/>
    </xf>
    <xf numFmtId="0" fontId="13" fillId="0" borderId="40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14" fillId="0" borderId="21" xfId="0" applyFont="1" applyBorder="1" applyAlignment="1">
      <alignment horizontal="left" vertical="center"/>
    </xf>
    <xf numFmtId="165" fontId="14" fillId="4" borderId="12" xfId="1" applyNumberFormat="1" applyFont="1" applyFill="1" applyBorder="1" applyAlignment="1">
      <alignment horizontal="left" vertical="center" wrapText="1"/>
    </xf>
    <xf numFmtId="0" fontId="14" fillId="4" borderId="12" xfId="1" applyNumberFormat="1" applyFont="1" applyFill="1" applyBorder="1" applyAlignment="1">
      <alignment horizontal="left" vertical="center" wrapText="1"/>
    </xf>
    <xf numFmtId="0" fontId="13" fillId="0" borderId="12" xfId="1" applyNumberFormat="1" applyFont="1" applyBorder="1" applyAlignment="1">
      <alignment horizontal="left" vertical="center" wrapText="1"/>
    </xf>
    <xf numFmtId="165" fontId="14" fillId="4" borderId="12" xfId="1" applyNumberFormat="1" applyFont="1" applyFill="1" applyBorder="1" applyAlignment="1">
      <alignment horizontal="left" vertical="center"/>
    </xf>
    <xf numFmtId="0" fontId="14" fillId="4" borderId="18" xfId="1" applyNumberFormat="1" applyFont="1" applyFill="1" applyBorder="1" applyAlignment="1">
      <alignment horizontal="left" vertical="center"/>
    </xf>
    <xf numFmtId="0" fontId="14" fillId="4" borderId="0" xfId="0" applyFont="1" applyFill="1" applyAlignment="1">
      <alignment horizontal="left" vertical="center"/>
    </xf>
    <xf numFmtId="0" fontId="14" fillId="0" borderId="1" xfId="0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4" fillId="0" borderId="7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 wrapText="1"/>
    </xf>
    <xf numFmtId="0" fontId="14" fillId="0" borderId="51" xfId="0" applyFont="1" applyBorder="1" applyAlignment="1">
      <alignment horizontal="left" vertical="center" wrapText="1"/>
    </xf>
    <xf numFmtId="0" fontId="14" fillId="0" borderId="59" xfId="0" applyFont="1" applyBorder="1" applyAlignment="1">
      <alignment horizontal="left" vertical="center" wrapText="1"/>
    </xf>
    <xf numFmtId="9" fontId="14" fillId="0" borderId="12" xfId="2" applyFont="1" applyBorder="1" applyAlignment="1">
      <alignment horizontal="left" vertical="center"/>
    </xf>
    <xf numFmtId="9" fontId="14" fillId="0" borderId="51" xfId="2" applyFont="1" applyBorder="1" applyAlignment="1">
      <alignment horizontal="left" vertical="center"/>
    </xf>
    <xf numFmtId="0" fontId="14" fillId="0" borderId="59" xfId="0" applyFont="1" applyBorder="1" applyAlignment="1">
      <alignment horizontal="left" vertical="center"/>
    </xf>
    <xf numFmtId="165" fontId="14" fillId="4" borderId="12" xfId="1" applyNumberFormat="1" applyFont="1" applyFill="1" applyBorder="1" applyAlignment="1">
      <alignment horizontal="center" vertical="center" wrapText="1"/>
    </xf>
    <xf numFmtId="0" fontId="14" fillId="4" borderId="12" xfId="1" applyNumberFormat="1" applyFont="1" applyFill="1" applyBorder="1" applyAlignment="1">
      <alignment horizontal="center" vertical="center" wrapText="1"/>
    </xf>
    <xf numFmtId="0" fontId="14" fillId="4" borderId="18" xfId="1" applyNumberFormat="1" applyFont="1" applyFill="1" applyBorder="1" applyAlignment="1">
      <alignment horizontal="center" vertical="center"/>
    </xf>
    <xf numFmtId="0" fontId="13" fillId="0" borderId="8" xfId="0" applyFont="1" applyBorder="1" applyAlignment="1">
      <alignment horizontal="center" vertical="center"/>
    </xf>
    <xf numFmtId="0" fontId="13" fillId="0" borderId="43" xfId="0" applyFont="1" applyBorder="1" applyAlignment="1">
      <alignment horizontal="center" vertical="center"/>
    </xf>
    <xf numFmtId="0" fontId="13" fillId="0" borderId="62" xfId="0" applyFont="1" applyBorder="1" applyAlignment="1">
      <alignment horizontal="center" vertical="center"/>
    </xf>
    <xf numFmtId="0" fontId="14" fillId="2" borderId="12" xfId="0" applyFont="1" applyFill="1" applyBorder="1" applyAlignment="1">
      <alignment horizontal="center" vertical="center"/>
    </xf>
    <xf numFmtId="0" fontId="14" fillId="2" borderId="14" xfId="0" applyFont="1" applyFill="1" applyBorder="1" applyAlignment="1">
      <alignment horizontal="center" vertical="center"/>
    </xf>
    <xf numFmtId="0" fontId="14" fillId="2" borderId="12" xfId="0" applyFont="1" applyFill="1" applyBorder="1" applyAlignment="1">
      <alignment horizontal="left" vertical="center" wrapText="1"/>
    </xf>
    <xf numFmtId="0" fontId="14" fillId="2" borderId="12" xfId="0" applyFont="1" applyFill="1" applyBorder="1" applyAlignment="1">
      <alignment horizontal="left" vertical="center"/>
    </xf>
    <xf numFmtId="0" fontId="14" fillId="2" borderId="14" xfId="0" applyFont="1" applyFill="1" applyBorder="1" applyAlignment="1">
      <alignment horizontal="left" vertical="center"/>
    </xf>
    <xf numFmtId="0" fontId="13" fillId="0" borderId="42" xfId="0" applyFont="1" applyBorder="1" applyAlignment="1">
      <alignment horizontal="center" vertical="center" wrapText="1"/>
    </xf>
    <xf numFmtId="0" fontId="13" fillId="0" borderId="54" xfId="0" applyFont="1" applyBorder="1" applyAlignment="1">
      <alignment horizontal="center" vertical="center" wrapText="1"/>
    </xf>
    <xf numFmtId="0" fontId="13" fillId="0" borderId="45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58" xfId="0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61" xfId="0" applyFont="1" applyBorder="1" applyAlignment="1">
      <alignment horizontal="center" vertical="center" wrapText="1"/>
    </xf>
    <xf numFmtId="0" fontId="14" fillId="4" borderId="19" xfId="0" applyFont="1" applyFill="1" applyBorder="1" applyAlignment="1">
      <alignment horizontal="left" vertical="center"/>
    </xf>
    <xf numFmtId="0" fontId="14" fillId="4" borderId="20" xfId="0" applyFont="1" applyFill="1" applyBorder="1" applyAlignment="1">
      <alignment horizontal="left" vertical="center"/>
    </xf>
    <xf numFmtId="0" fontId="14" fillId="4" borderId="21" xfId="0" applyFont="1" applyFill="1" applyBorder="1" applyAlignment="1">
      <alignment horizontal="left" vertical="center"/>
    </xf>
    <xf numFmtId="0" fontId="14" fillId="4" borderId="22" xfId="0" applyFont="1" applyFill="1" applyBorder="1" applyAlignment="1">
      <alignment horizontal="left" vertical="center"/>
    </xf>
    <xf numFmtId="0" fontId="14" fillId="0" borderId="19" xfId="0" applyFont="1" applyBorder="1" applyAlignment="1">
      <alignment horizontal="center" vertical="center"/>
    </xf>
    <xf numFmtId="0" fontId="14" fillId="0" borderId="28" xfId="0" applyFont="1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165" fontId="14" fillId="4" borderId="19" xfId="0" applyNumberFormat="1" applyFont="1" applyFill="1" applyBorder="1" applyAlignment="1">
      <alignment horizontal="left" vertical="center"/>
    </xf>
    <xf numFmtId="0" fontId="14" fillId="4" borderId="28" xfId="0" applyFont="1" applyFill="1" applyBorder="1" applyAlignment="1">
      <alignment horizontal="left" vertical="center"/>
    </xf>
    <xf numFmtId="0" fontId="14" fillId="0" borderId="21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3" fillId="0" borderId="15" xfId="0" applyFont="1" applyBorder="1" applyAlignment="1">
      <alignment horizontal="left" vertical="center" wrapText="1"/>
    </xf>
    <xf numFmtId="0" fontId="14" fillId="0" borderId="16" xfId="0" applyFont="1" applyBorder="1" applyAlignment="1">
      <alignment horizontal="left" vertical="center" wrapText="1"/>
    </xf>
    <xf numFmtId="0" fontId="14" fillId="0" borderId="17" xfId="0" applyFont="1" applyBorder="1" applyAlignment="1">
      <alignment horizontal="left" vertical="center" wrapText="1"/>
    </xf>
    <xf numFmtId="0" fontId="14" fillId="4" borderId="12" xfId="1" applyNumberFormat="1" applyFont="1" applyFill="1" applyBorder="1" applyAlignment="1">
      <alignment horizontal="left" vertical="center"/>
    </xf>
    <xf numFmtId="0" fontId="14" fillId="0" borderId="12" xfId="1" applyNumberFormat="1" applyFont="1" applyBorder="1" applyAlignment="1">
      <alignment horizontal="left" vertical="center"/>
    </xf>
    <xf numFmtId="0" fontId="14" fillId="0" borderId="18" xfId="1" applyNumberFormat="1" applyFont="1" applyBorder="1" applyAlignment="1">
      <alignment horizontal="left" vertical="center"/>
    </xf>
    <xf numFmtId="0" fontId="14" fillId="0" borderId="20" xfId="0" applyFont="1" applyBorder="1" applyAlignment="1">
      <alignment horizontal="center" vertical="center"/>
    </xf>
    <xf numFmtId="0" fontId="14" fillId="0" borderId="48" xfId="0" applyFont="1" applyBorder="1" applyAlignment="1">
      <alignment horizontal="center" vertical="center"/>
    </xf>
    <xf numFmtId="0" fontId="14" fillId="2" borderId="43" xfId="0" applyFont="1" applyFill="1" applyBorder="1" applyAlignment="1">
      <alignment horizontal="left" vertical="center" wrapText="1"/>
    </xf>
    <xf numFmtId="0" fontId="14" fillId="0" borderId="44" xfId="0" applyFont="1" applyBorder="1" applyAlignment="1">
      <alignment horizontal="left" vertical="center"/>
    </xf>
    <xf numFmtId="0" fontId="14" fillId="0" borderId="45" xfId="0" applyFont="1" applyBorder="1" applyAlignment="1">
      <alignment horizontal="left" vertical="center"/>
    </xf>
    <xf numFmtId="0" fontId="14" fillId="0" borderId="51" xfId="0" applyFont="1" applyBorder="1" applyAlignment="1">
      <alignment horizontal="center" vertical="center" wrapText="1"/>
    </xf>
    <xf numFmtId="0" fontId="14" fillId="0" borderId="43" xfId="0" applyFont="1" applyBorder="1" applyAlignment="1">
      <alignment horizontal="center" vertical="center" wrapText="1"/>
    </xf>
    <xf numFmtId="0" fontId="14" fillId="2" borderId="43" xfId="0" applyFont="1" applyFill="1" applyBorder="1" applyAlignment="1">
      <alignment horizontal="center" vertical="center"/>
    </xf>
    <xf numFmtId="9" fontId="14" fillId="0" borderId="12" xfId="2" applyFont="1" applyBorder="1" applyAlignment="1">
      <alignment horizontal="center" vertical="center"/>
    </xf>
    <xf numFmtId="0" fontId="14" fillId="2" borderId="53" xfId="0" applyFont="1" applyFill="1" applyBorder="1" applyAlignment="1">
      <alignment horizontal="center" vertical="center"/>
    </xf>
    <xf numFmtId="165" fontId="14" fillId="4" borderId="19" xfId="0" applyNumberFormat="1" applyFont="1" applyFill="1" applyBorder="1" applyAlignment="1">
      <alignment horizontal="center" vertical="center"/>
    </xf>
    <xf numFmtId="165" fontId="14" fillId="4" borderId="20" xfId="0" applyNumberFormat="1" applyFont="1" applyFill="1" applyBorder="1" applyAlignment="1">
      <alignment vertical="center"/>
    </xf>
    <xf numFmtId="0" fontId="13" fillId="0" borderId="53" xfId="0" applyFont="1" applyBorder="1" applyAlignment="1">
      <alignment horizontal="center" vertical="center"/>
    </xf>
    <xf numFmtId="0" fontId="13" fillId="0" borderId="43" xfId="0" applyFont="1" applyBorder="1" applyAlignment="1">
      <alignment horizontal="center" vertical="center" wrapText="1"/>
    </xf>
    <xf numFmtId="9" fontId="14" fillId="4" borderId="12" xfId="2" applyFont="1" applyFill="1" applyBorder="1" applyAlignment="1">
      <alignment horizontal="center" vertical="center" wrapText="1"/>
    </xf>
    <xf numFmtId="0" fontId="14" fillId="4" borderId="50" xfId="0" applyFont="1" applyFill="1" applyBorder="1" applyAlignment="1">
      <alignment horizontal="left" vertical="center" wrapText="1"/>
    </xf>
    <xf numFmtId="0" fontId="14" fillId="4" borderId="33" xfId="0" applyFont="1" applyFill="1" applyBorder="1" applyAlignment="1">
      <alignment horizontal="left" vertical="center" wrapText="1"/>
    </xf>
    <xf numFmtId="0" fontId="14" fillId="4" borderId="44" xfId="0" applyFont="1" applyFill="1" applyBorder="1" applyAlignment="1">
      <alignment horizontal="left" vertical="center" wrapText="1"/>
    </xf>
    <xf numFmtId="0" fontId="14" fillId="4" borderId="45" xfId="0" applyFont="1" applyFill="1" applyBorder="1" applyAlignment="1">
      <alignment horizontal="left" vertical="center" wrapText="1"/>
    </xf>
    <xf numFmtId="0" fontId="14" fillId="0" borderId="12" xfId="0" applyFont="1" applyBorder="1" applyAlignment="1">
      <alignment vertical="center" wrapText="1"/>
    </xf>
    <xf numFmtId="0" fontId="14" fillId="0" borderId="14" xfId="0" applyFont="1" applyBorder="1" applyAlignment="1">
      <alignment vertical="center" wrapText="1"/>
    </xf>
    <xf numFmtId="0" fontId="13" fillId="0" borderId="16" xfId="0" applyFont="1" applyBorder="1" applyAlignment="1">
      <alignment horizontal="center" vertical="center"/>
    </xf>
    <xf numFmtId="165" fontId="14" fillId="0" borderId="12" xfId="1" applyNumberFormat="1" applyFont="1" applyBorder="1" applyAlignment="1">
      <alignment horizontal="center" vertical="center" wrapText="1"/>
    </xf>
    <xf numFmtId="0" fontId="14" fillId="0" borderId="12" xfId="1" applyNumberFormat="1" applyFont="1" applyBorder="1" applyAlignment="1">
      <alignment horizontal="center" vertical="center" wrapText="1"/>
    </xf>
    <xf numFmtId="0" fontId="14" fillId="0" borderId="12" xfId="1" applyNumberFormat="1" applyFont="1" applyBorder="1" applyAlignment="1">
      <alignment horizontal="left" vertical="center" wrapText="1"/>
    </xf>
    <xf numFmtId="0" fontId="14" fillId="0" borderId="18" xfId="1" applyNumberFormat="1" applyFont="1" applyBorder="1" applyAlignment="1">
      <alignment horizontal="left" vertical="center" wrapText="1"/>
    </xf>
    <xf numFmtId="0" fontId="14" fillId="0" borderId="12" xfId="0" quotePrefix="1" applyFont="1" applyBorder="1" applyAlignment="1">
      <alignment horizontal="left" vertical="center" wrapText="1"/>
    </xf>
    <xf numFmtId="0" fontId="14" fillId="0" borderId="19" xfId="0" applyFont="1" applyBorder="1" applyAlignment="1">
      <alignment horizontal="center" vertical="center" wrapText="1"/>
    </xf>
    <xf numFmtId="0" fontId="14" fillId="0" borderId="20" xfId="0" applyFont="1" applyBorder="1" applyAlignment="1">
      <alignment horizontal="center" vertical="center" wrapText="1"/>
    </xf>
    <xf numFmtId="0" fontId="14" fillId="0" borderId="21" xfId="0" applyFont="1" applyBorder="1" applyAlignment="1">
      <alignment horizontal="center" vertical="center" wrapText="1"/>
    </xf>
    <xf numFmtId="0" fontId="14" fillId="0" borderId="22" xfId="0" applyFont="1" applyBorder="1" applyAlignment="1">
      <alignment horizontal="center" vertical="center" wrapText="1"/>
    </xf>
  </cellXfs>
  <cellStyles count="6">
    <cellStyle name="Comma" xfId="1" builtinId="3"/>
    <cellStyle name="Comma 2" xfId="4" xr:uid="{A3B6C49C-62DE-4933-A1CA-4511C7B55709}"/>
    <cellStyle name="Comma 3" xfId="3" xr:uid="{A1DCAC74-CC00-4CEB-8E61-04D35F0E41BD}"/>
    <cellStyle name="Normal" xfId="0" builtinId="0"/>
    <cellStyle name="Normal 2" xfId="5" xr:uid="{1B17FC4B-A301-48DA-BA1B-D0074FEE726B}"/>
    <cellStyle name="Percent" xfId="2" builtinId="5"/>
  </cellStyles>
  <dxfs count="171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_rels/drawing19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7.png"/></Relationships>
</file>

<file path=xl/drawings/_rels/drawing2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8.png"/></Relationships>
</file>

<file path=xl/drawings/_rels/drawing23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286293</xdr:colOff>
      <xdr:row>6</xdr:row>
      <xdr:rowOff>3264</xdr:rowOff>
    </xdr:from>
    <xdr:to>
      <xdr:col>16</xdr:col>
      <xdr:colOff>348341</xdr:colOff>
      <xdr:row>7</xdr:row>
      <xdr:rowOff>190194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EBCAAD4-FAA9-EA06-67DE-CD2E25F8CD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45436" y="1287778"/>
          <a:ext cx="715191" cy="40464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141514</xdr:colOff>
      <xdr:row>3</xdr:row>
      <xdr:rowOff>141514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E18E4C6-837A-66E7-1B5E-BF81821C49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94657" cy="79465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283028</xdr:colOff>
      <xdr:row>6</xdr:row>
      <xdr:rowOff>32657</xdr:rowOff>
    </xdr:from>
    <xdr:to>
      <xdr:col>16</xdr:col>
      <xdr:colOff>345076</xdr:colOff>
      <xdr:row>8</xdr:row>
      <xdr:rowOff>1873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5372A7E1-C1B6-4069-91A3-E169FF3F6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42171" y="1317171"/>
          <a:ext cx="715191" cy="40464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141514</xdr:colOff>
      <xdr:row>3</xdr:row>
      <xdr:rowOff>141514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7690DF1-833B-4495-B6D0-50242CD84C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94657" cy="79465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337457</xdr:colOff>
      <xdr:row>6</xdr:row>
      <xdr:rowOff>21771</xdr:rowOff>
    </xdr:from>
    <xdr:to>
      <xdr:col>16</xdr:col>
      <xdr:colOff>399505</xdr:colOff>
      <xdr:row>7</xdr:row>
      <xdr:rowOff>197816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4BD91A3-91EA-4D9D-A5B1-EF1D773A65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96600" y="1328057"/>
          <a:ext cx="715191" cy="40464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141514</xdr:colOff>
      <xdr:row>3</xdr:row>
      <xdr:rowOff>141514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11FED13C-DAE7-494C-B2B9-D421B33BCE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94657" cy="79465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261257</xdr:colOff>
      <xdr:row>6</xdr:row>
      <xdr:rowOff>10885</xdr:rowOff>
    </xdr:from>
    <xdr:to>
      <xdr:col>16</xdr:col>
      <xdr:colOff>323305</xdr:colOff>
      <xdr:row>7</xdr:row>
      <xdr:rowOff>197815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4CFB8E9-C626-4482-8C67-E00AAEB4B7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20400" y="1295399"/>
          <a:ext cx="715191" cy="40464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141514</xdr:colOff>
      <xdr:row>3</xdr:row>
      <xdr:rowOff>141514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D68EB71-BD72-4A0D-88BB-90C2D9D68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94657" cy="79465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250371</xdr:colOff>
      <xdr:row>6</xdr:row>
      <xdr:rowOff>10885</xdr:rowOff>
    </xdr:from>
    <xdr:to>
      <xdr:col>16</xdr:col>
      <xdr:colOff>312419</xdr:colOff>
      <xdr:row>7</xdr:row>
      <xdr:rowOff>197815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C4FCA76A-11D9-4478-9F36-81DFE018A8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809514" y="1295399"/>
          <a:ext cx="715191" cy="404645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1</xdr:col>
      <xdr:colOff>141514</xdr:colOff>
      <xdr:row>3</xdr:row>
      <xdr:rowOff>141514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DFA8613-E323-4138-8B9E-59283F159E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794657" cy="79465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647700</xdr:colOff>
      <xdr:row>51</xdr:row>
      <xdr:rowOff>135694</xdr:rowOff>
    </xdr:from>
    <xdr:to>
      <xdr:col>2</xdr:col>
      <xdr:colOff>381000</xdr:colOff>
      <xdr:row>54</xdr:row>
      <xdr:rowOff>42696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096459-903F-4C38-BBE6-D6F8658EE2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0" y="12651544"/>
          <a:ext cx="1047750" cy="59280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464821</xdr:colOff>
      <xdr:row>11</xdr:row>
      <xdr:rowOff>136643</xdr:rowOff>
    </xdr:from>
    <xdr:to>
      <xdr:col>5</xdr:col>
      <xdr:colOff>1</xdr:colOff>
      <xdr:row>13</xdr:row>
      <xdr:rowOff>61745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F69A788-7DB8-4453-84D3-AD21C7CB8B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92681" y="2277863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0</xdr:col>
      <xdr:colOff>83820</xdr:colOff>
      <xdr:row>0</xdr:row>
      <xdr:rowOff>0</xdr:rowOff>
    </xdr:from>
    <xdr:to>
      <xdr:col>1</xdr:col>
      <xdr:colOff>634637</xdr:colOff>
      <xdr:row>3</xdr:row>
      <xdr:rowOff>177437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A5C918E-404D-4675-A173-7C4255D097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" y="0"/>
          <a:ext cx="794657" cy="794657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11</xdr:row>
      <xdr:rowOff>129540</xdr:rowOff>
    </xdr:from>
    <xdr:to>
      <xdr:col>5</xdr:col>
      <xdr:colOff>76200</xdr:colOff>
      <xdr:row>13</xdr:row>
      <xdr:rowOff>54642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964F54B-2F02-4250-914D-39058D731B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68880" y="2270760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0</xdr:col>
      <xdr:colOff>83820</xdr:colOff>
      <xdr:row>0</xdr:row>
      <xdr:rowOff>0</xdr:rowOff>
    </xdr:from>
    <xdr:to>
      <xdr:col>1</xdr:col>
      <xdr:colOff>634637</xdr:colOff>
      <xdr:row>3</xdr:row>
      <xdr:rowOff>177437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3BF359D-6437-4DF1-834E-B44B30090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" y="0"/>
          <a:ext cx="794657" cy="79465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243840</xdr:colOff>
      <xdr:row>11</xdr:row>
      <xdr:rowOff>114300</xdr:rowOff>
    </xdr:from>
    <xdr:to>
      <xdr:col>4</xdr:col>
      <xdr:colOff>243840</xdr:colOff>
      <xdr:row>13</xdr:row>
      <xdr:rowOff>39402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D566812-23BC-4FC3-AD80-550B541E76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39340" y="2255520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0</xdr:col>
      <xdr:colOff>144780</xdr:colOff>
      <xdr:row>0</xdr:row>
      <xdr:rowOff>0</xdr:rowOff>
    </xdr:from>
    <xdr:to>
      <xdr:col>1</xdr:col>
      <xdr:colOff>695597</xdr:colOff>
      <xdr:row>3</xdr:row>
      <xdr:rowOff>177437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64B7340-7456-4134-84FE-32A802D361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780" y="0"/>
          <a:ext cx="794657" cy="794657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495300</xdr:colOff>
      <xdr:row>11</xdr:row>
      <xdr:rowOff>137160</xdr:rowOff>
    </xdr:from>
    <xdr:to>
      <xdr:col>5</xdr:col>
      <xdr:colOff>30480</xdr:colOff>
      <xdr:row>13</xdr:row>
      <xdr:rowOff>62262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21D25B4-C307-4832-B25F-44BA259A71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23160" y="2278380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0</xdr:col>
      <xdr:colOff>83820</xdr:colOff>
      <xdr:row>0</xdr:row>
      <xdr:rowOff>0</xdr:rowOff>
    </xdr:from>
    <xdr:to>
      <xdr:col>1</xdr:col>
      <xdr:colOff>634637</xdr:colOff>
      <xdr:row>3</xdr:row>
      <xdr:rowOff>177437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F694087-597E-4ADB-97D4-F24D5CF10E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" y="0"/>
          <a:ext cx="794657" cy="79465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487680</xdr:colOff>
      <xdr:row>11</xdr:row>
      <xdr:rowOff>114300</xdr:rowOff>
    </xdr:from>
    <xdr:to>
      <xdr:col>5</xdr:col>
      <xdr:colOff>22860</xdr:colOff>
      <xdr:row>13</xdr:row>
      <xdr:rowOff>39402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935F8C9-9EF6-4846-B6B6-9974EF984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15540" y="2255520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0</xdr:col>
      <xdr:colOff>83820</xdr:colOff>
      <xdr:row>0</xdr:row>
      <xdr:rowOff>0</xdr:rowOff>
    </xdr:from>
    <xdr:to>
      <xdr:col>1</xdr:col>
      <xdr:colOff>634637</xdr:colOff>
      <xdr:row>3</xdr:row>
      <xdr:rowOff>177437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865D8DF-EC95-4C09-9F73-D7EEBC9F51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" y="0"/>
          <a:ext cx="794657" cy="794657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502920</xdr:colOff>
      <xdr:row>11</xdr:row>
      <xdr:rowOff>114300</xdr:rowOff>
    </xdr:from>
    <xdr:to>
      <xdr:col>5</xdr:col>
      <xdr:colOff>38100</xdr:colOff>
      <xdr:row>13</xdr:row>
      <xdr:rowOff>39402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90D0FD44-1AC5-4E81-BFFD-A87569F7CA6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30780" y="2255520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0</xdr:col>
      <xdr:colOff>91440</xdr:colOff>
      <xdr:row>0</xdr:row>
      <xdr:rowOff>0</xdr:rowOff>
    </xdr:from>
    <xdr:to>
      <xdr:col>1</xdr:col>
      <xdr:colOff>642257</xdr:colOff>
      <xdr:row>3</xdr:row>
      <xdr:rowOff>177437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34C3986-DC64-47F3-AB87-8E3906A298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1440" y="0"/>
          <a:ext cx="794657" cy="79465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510540</xdr:colOff>
      <xdr:row>11</xdr:row>
      <xdr:rowOff>137160</xdr:rowOff>
    </xdr:from>
    <xdr:to>
      <xdr:col>5</xdr:col>
      <xdr:colOff>45720</xdr:colOff>
      <xdr:row>13</xdr:row>
      <xdr:rowOff>62262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C688677-FF94-4CEC-8329-F88F87DA05A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38400" y="2278380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0</xdr:col>
      <xdr:colOff>83820</xdr:colOff>
      <xdr:row>0</xdr:row>
      <xdr:rowOff>0</xdr:rowOff>
    </xdr:from>
    <xdr:to>
      <xdr:col>1</xdr:col>
      <xdr:colOff>634637</xdr:colOff>
      <xdr:row>3</xdr:row>
      <xdr:rowOff>177437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F7EF16E-2A0B-4DE7-B2F8-56B4E8F7BF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" y="0"/>
          <a:ext cx="794657" cy="794657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45720</xdr:rowOff>
    </xdr:from>
    <xdr:to>
      <xdr:col>1</xdr:col>
      <xdr:colOff>529590</xdr:colOff>
      <xdr:row>2</xdr:row>
      <xdr:rowOff>182880</xdr:rowOff>
    </xdr:to>
    <xdr:pic>
      <xdr:nvPicPr>
        <xdr:cNvPr id="2" name="Picture 16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90500" y="45720"/>
          <a:ext cx="582930" cy="548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647700</xdr:colOff>
      <xdr:row>8</xdr:row>
      <xdr:rowOff>76200</xdr:rowOff>
    </xdr:from>
    <xdr:to>
      <xdr:col>5</xdr:col>
      <xdr:colOff>335915</xdr:colOff>
      <xdr:row>17</xdr:row>
      <xdr:rowOff>161290</xdr:rowOff>
    </xdr:to>
    <xdr:pic>
      <xdr:nvPicPr>
        <xdr:cNvPr id="3" name="Picture 2" descr="z4859621558652_24bae993a725e9b340992f23d3c6bf47_preview_rev_1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7820" y="1645920"/>
          <a:ext cx="1661795" cy="1862455"/>
        </a:xfrm>
        <a:prstGeom prst="rect">
          <a:avLst/>
        </a:prstGeom>
        <a:noFill/>
        <a:ln w="12700" cmpd="sng">
          <a:noFill/>
          <a:prstDash val="solid"/>
        </a:ln>
        <a:effectLst>
          <a:outerShdw dir="7200000" algn="ctr" rotWithShape="0">
            <a:srgbClr val="002060">
              <a:alpha val="100000"/>
            </a:srgbClr>
          </a:outerShdw>
          <a:reflection blurRad="1270000" stA="45000" endPos="65000" dir="5400000" sy="-100000" algn="bl" rotWithShape="0"/>
        </a:effectLst>
        <a:scene3d>
          <a:camera prst="orthographicFront">
            <a:rot lat="0" lon="0" rev="0"/>
          </a:camera>
          <a:lightRig rig="threePt" dir="t"/>
        </a:scene3d>
        <a:sp3d extrusionH="228600" prstMaterial="metal">
          <a:contourClr>
            <a:schemeClr val="bg1"/>
          </a:contourClr>
        </a:sp3d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45720</xdr:rowOff>
    </xdr:from>
    <xdr:to>
      <xdr:col>1</xdr:col>
      <xdr:colOff>529590</xdr:colOff>
      <xdr:row>2</xdr:row>
      <xdr:rowOff>182880</xdr:rowOff>
    </xdr:to>
    <xdr:pic>
      <xdr:nvPicPr>
        <xdr:cNvPr id="2" name="Picture 16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90500" y="45720"/>
          <a:ext cx="582930" cy="5486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</xdr:col>
      <xdr:colOff>647700</xdr:colOff>
      <xdr:row>8</xdr:row>
      <xdr:rowOff>60960</xdr:rowOff>
    </xdr:from>
    <xdr:to>
      <xdr:col>5</xdr:col>
      <xdr:colOff>335915</xdr:colOff>
      <xdr:row>17</xdr:row>
      <xdr:rowOff>146050</xdr:rowOff>
    </xdr:to>
    <xdr:pic>
      <xdr:nvPicPr>
        <xdr:cNvPr id="3" name="Picture 2" descr="z4859621558652_24bae993a725e9b340992f23d3c6bf47_preview_rev_1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607820" y="1630680"/>
          <a:ext cx="1661795" cy="1862455"/>
        </a:xfrm>
        <a:prstGeom prst="rect">
          <a:avLst/>
        </a:prstGeom>
        <a:noFill/>
        <a:ln w="12700" cmpd="sng">
          <a:noFill/>
          <a:prstDash val="solid"/>
        </a:ln>
        <a:effectLst>
          <a:outerShdw dir="7200000" algn="ctr" rotWithShape="0">
            <a:srgbClr val="002060">
              <a:alpha val="100000"/>
            </a:srgbClr>
          </a:outerShdw>
          <a:reflection blurRad="1270000" stA="45000" endPos="65000" dir="5400000" sy="-100000" algn="bl" rotWithShape="0"/>
        </a:effectLst>
        <a:scene3d>
          <a:camera prst="orthographicFront">
            <a:rot lat="0" lon="0" rev="0"/>
          </a:camera>
          <a:lightRig rig="threePt" dir="t"/>
        </a:scene3d>
        <a:sp3d extrusionH="228600" prstMaterial="metal">
          <a:contourClr>
            <a:schemeClr val="bg1"/>
          </a:contourClr>
        </a:sp3d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45</xdr:row>
      <xdr:rowOff>121452</xdr:rowOff>
    </xdr:from>
    <xdr:to>
      <xdr:col>12</xdr:col>
      <xdr:colOff>20956</xdr:colOff>
      <xdr:row>55</xdr:row>
      <xdr:rowOff>175427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8350885"/>
          <a:ext cx="7427595" cy="1882775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8</xdr:row>
      <xdr:rowOff>0</xdr:rowOff>
    </xdr:from>
    <xdr:to>
      <xdr:col>3</xdr:col>
      <xdr:colOff>243840</xdr:colOff>
      <xdr:row>9</xdr:row>
      <xdr:rowOff>60960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>
          <a:picLocks noChangeAspect="1"/>
        </xdr:cNvPicPr>
      </xdr:nvPicPr>
      <xdr:blipFill>
        <a:stretch>
          <a:fillRect/>
        </a:stretch>
      </xdr:blipFill>
      <xdr:spPr>
        <a:xfrm>
          <a:off x="1851660" y="1463040"/>
          <a:ext cx="243840" cy="24384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860612</xdr:colOff>
      <xdr:row>11</xdr:row>
      <xdr:rowOff>224119</xdr:rowOff>
    </xdr:from>
    <xdr:to>
      <xdr:col>3</xdr:col>
      <xdr:colOff>1401632</xdr:colOff>
      <xdr:row>13</xdr:row>
      <xdr:rowOff>64056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BF8C08-4A45-4CC9-B69A-0452F7911E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6588" y="2590801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1</xdr:col>
      <xdr:colOff>26894</xdr:colOff>
      <xdr:row>0</xdr:row>
      <xdr:rowOff>0</xdr:rowOff>
    </xdr:from>
    <xdr:to>
      <xdr:col>1</xdr:col>
      <xdr:colOff>821551</xdr:colOff>
      <xdr:row>3</xdr:row>
      <xdr:rowOff>95410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0AD34AB-BCFD-459D-A441-E461933CA2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800" y="0"/>
          <a:ext cx="794657" cy="794657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932329</xdr:colOff>
      <xdr:row>11</xdr:row>
      <xdr:rowOff>206188</xdr:rowOff>
    </xdr:from>
    <xdr:to>
      <xdr:col>4</xdr:col>
      <xdr:colOff>343796</xdr:colOff>
      <xdr:row>13</xdr:row>
      <xdr:rowOff>46125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5DCD0D2-4F51-4BDC-9559-6EB347BD5B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00400" y="2572870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0</xdr:col>
      <xdr:colOff>251011</xdr:colOff>
      <xdr:row>0</xdr:row>
      <xdr:rowOff>0</xdr:rowOff>
    </xdr:from>
    <xdr:to>
      <xdr:col>1</xdr:col>
      <xdr:colOff>767762</xdr:colOff>
      <xdr:row>3</xdr:row>
      <xdr:rowOff>95410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407ABAE-1C4A-4803-A6FD-AB2082CB90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51011" y="0"/>
          <a:ext cx="794657" cy="79465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80683</xdr:colOff>
      <xdr:row>11</xdr:row>
      <xdr:rowOff>188259</xdr:rowOff>
    </xdr:from>
    <xdr:to>
      <xdr:col>6</xdr:col>
      <xdr:colOff>3138</xdr:colOff>
      <xdr:row>13</xdr:row>
      <xdr:rowOff>28196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39FB5B0-9401-4869-A7F0-0382D5C280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51412" y="2554941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1</xdr:col>
      <xdr:colOff>89647</xdr:colOff>
      <xdr:row>0</xdr:row>
      <xdr:rowOff>0</xdr:rowOff>
    </xdr:from>
    <xdr:to>
      <xdr:col>1</xdr:col>
      <xdr:colOff>884304</xdr:colOff>
      <xdr:row>3</xdr:row>
      <xdr:rowOff>95410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8B98629-C608-4A7F-A3FC-56DA05617D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67553" y="0"/>
          <a:ext cx="794657" cy="794657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1272988</xdr:colOff>
      <xdr:row>11</xdr:row>
      <xdr:rowOff>188259</xdr:rowOff>
    </xdr:from>
    <xdr:to>
      <xdr:col>4</xdr:col>
      <xdr:colOff>268045</xdr:colOff>
      <xdr:row>13</xdr:row>
      <xdr:rowOff>28196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85E7F3-10BA-4563-BBEE-78E0771D8A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64541" y="2554941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1</xdr:col>
      <xdr:colOff>26894</xdr:colOff>
      <xdr:row>0</xdr:row>
      <xdr:rowOff>0</xdr:rowOff>
    </xdr:from>
    <xdr:to>
      <xdr:col>1</xdr:col>
      <xdr:colOff>821551</xdr:colOff>
      <xdr:row>3</xdr:row>
      <xdr:rowOff>95410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8812995-038F-47CA-93FE-CCCF52A35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800" y="0"/>
          <a:ext cx="794657" cy="79465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44823</xdr:colOff>
      <xdr:row>11</xdr:row>
      <xdr:rowOff>170330</xdr:rowOff>
    </xdr:from>
    <xdr:to>
      <xdr:col>4</xdr:col>
      <xdr:colOff>585843</xdr:colOff>
      <xdr:row>13</xdr:row>
      <xdr:rowOff>10267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EBABDEB-AD7D-4F69-9FB9-B1951E44BC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74894" y="2537012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1</xdr:col>
      <xdr:colOff>17929</xdr:colOff>
      <xdr:row>0</xdr:row>
      <xdr:rowOff>0</xdr:rowOff>
    </xdr:from>
    <xdr:to>
      <xdr:col>1</xdr:col>
      <xdr:colOff>812586</xdr:colOff>
      <xdr:row>3</xdr:row>
      <xdr:rowOff>95410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FB88713-B664-4930-B760-CFE062FE0D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95835" y="0"/>
          <a:ext cx="794657" cy="794657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125505</xdr:colOff>
      <xdr:row>11</xdr:row>
      <xdr:rowOff>206189</xdr:rowOff>
    </xdr:from>
    <xdr:to>
      <xdr:col>4</xdr:col>
      <xdr:colOff>666525</xdr:colOff>
      <xdr:row>13</xdr:row>
      <xdr:rowOff>46126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897D1C6-6448-4CC8-886D-0DEFB8D18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218329" y="2572871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1</xdr:col>
      <xdr:colOff>170329</xdr:colOff>
      <xdr:row>0</xdr:row>
      <xdr:rowOff>0</xdr:rowOff>
    </xdr:from>
    <xdr:to>
      <xdr:col>1</xdr:col>
      <xdr:colOff>964986</xdr:colOff>
      <xdr:row>3</xdr:row>
      <xdr:rowOff>95410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9F4F37A-9C58-48B7-8D43-C2FB2056E7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8235" y="0"/>
          <a:ext cx="794657" cy="79465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717177</xdr:colOff>
      <xdr:row>11</xdr:row>
      <xdr:rowOff>224119</xdr:rowOff>
    </xdr:from>
    <xdr:to>
      <xdr:col>4</xdr:col>
      <xdr:colOff>363967</xdr:colOff>
      <xdr:row>13</xdr:row>
      <xdr:rowOff>64056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F60F3FB-57A3-42AE-9FA0-3F7E414C9A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146612" y="2590801"/>
          <a:ext cx="541020" cy="306102"/>
        </a:xfrm>
        <a:prstGeom prst="rect">
          <a:avLst/>
        </a:prstGeom>
      </xdr:spPr>
    </xdr:pic>
    <xdr:clientData/>
  </xdr:twoCellAnchor>
  <xdr:twoCellAnchor editAs="oneCell">
    <xdr:from>
      <xdr:col>1</xdr:col>
      <xdr:colOff>62753</xdr:colOff>
      <xdr:row>0</xdr:row>
      <xdr:rowOff>0</xdr:rowOff>
    </xdr:from>
    <xdr:to>
      <xdr:col>1</xdr:col>
      <xdr:colOff>857410</xdr:colOff>
      <xdr:row>3</xdr:row>
      <xdr:rowOff>95410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76237E6-03B6-4AD4-87E0-AB19FDD05D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40659" y="0"/>
          <a:ext cx="794657" cy="794657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D:\L-PLANING\PSX\VITEC%20-%20Bao%20IBST%2025Kg\LSX%20-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"/>
      <sheetName val="Chia cuộn"/>
      <sheetName val="Ghép"/>
      <sheetName val="Bồi"/>
      <sheetName val="Tráng"/>
      <sheetName val="Tuýp"/>
      <sheetName val="Dán"/>
      <sheetName val="Thổi"/>
      <sheetName val="May"/>
      <sheetName val="Đóng gói"/>
    </sheetNames>
    <sheetDataSet>
      <sheetData sheetId="0">
        <row r="5">
          <cell r="J5" t="str">
            <v>SX2311007</v>
          </cell>
        </row>
        <row r="16">
          <cell r="O16" t="str">
            <v>Bao OPP, may gập đáy 1 đầu bao, MTLS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W48"/>
  <sheetViews>
    <sheetView view="pageBreakPreview" topLeftCell="A15" zoomScale="70" zoomScaleNormal="70" zoomScaleSheetLayoutView="70" zoomScalePageLayoutView="80" workbookViewId="0">
      <selection activeCell="I24" sqref="I24"/>
    </sheetView>
  </sheetViews>
  <sheetFormatPr defaultColWidth="8.88671875" defaultRowHeight="13.8"/>
  <cols>
    <col min="1" max="1" width="9.44140625" style="23" customWidth="1"/>
    <col min="2" max="2" width="6.109375" style="23" customWidth="1"/>
    <col min="3" max="3" width="23.44140625" style="23" customWidth="1"/>
    <col min="4" max="5" width="21.109375" style="23" customWidth="1"/>
    <col min="6" max="6" width="7.44140625" style="34" customWidth="1"/>
    <col min="7" max="7" width="10" style="23" customWidth="1"/>
    <col min="8" max="16" width="9.44140625" style="23" customWidth="1"/>
    <col min="17" max="17" width="10.109375" style="23" customWidth="1"/>
    <col min="18" max="18" width="18.21875" style="23" customWidth="1"/>
    <col min="19" max="20" width="17.21875" style="23" customWidth="1"/>
    <col min="21" max="22" width="16.6640625" style="23" customWidth="1"/>
    <col min="23" max="16384" width="8.88671875" style="23"/>
  </cols>
  <sheetData>
    <row r="1" spans="1:21" ht="17.25" customHeight="1">
      <c r="A1" s="318" t="s">
        <v>0</v>
      </c>
      <c r="B1" s="320"/>
      <c r="C1" s="320"/>
      <c r="D1" s="320"/>
      <c r="E1" s="320"/>
      <c r="F1" s="320"/>
      <c r="G1" s="320"/>
      <c r="H1" s="320"/>
      <c r="I1" s="320"/>
      <c r="J1" s="320"/>
      <c r="K1" s="320"/>
      <c r="L1" s="320"/>
      <c r="M1" s="320"/>
      <c r="N1" s="320"/>
      <c r="O1" s="320"/>
      <c r="P1" s="320"/>
      <c r="Q1" s="396"/>
      <c r="R1" s="386" t="s">
        <v>1</v>
      </c>
      <c r="S1" s="387"/>
      <c r="T1" s="388"/>
    </row>
    <row r="2" spans="1:21" ht="17.25" customHeight="1">
      <c r="A2" s="397"/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9"/>
      <c r="R2" s="389" t="s">
        <v>2</v>
      </c>
      <c r="S2" s="390"/>
      <c r="T2" s="391"/>
    </row>
    <row r="3" spans="1:21" ht="17.25" customHeight="1" thickBot="1">
      <c r="A3" s="400"/>
      <c r="B3" s="401"/>
      <c r="C3" s="401"/>
      <c r="D3" s="401"/>
      <c r="E3" s="401"/>
      <c r="F3" s="401"/>
      <c r="G3" s="401"/>
      <c r="H3" s="401"/>
      <c r="I3" s="401"/>
      <c r="J3" s="401"/>
      <c r="K3" s="401"/>
      <c r="L3" s="401"/>
      <c r="M3" s="401"/>
      <c r="N3" s="401"/>
      <c r="O3" s="401"/>
      <c r="P3" s="401"/>
      <c r="Q3" s="402"/>
      <c r="R3" s="392" t="s">
        <v>3</v>
      </c>
      <c r="S3" s="393"/>
      <c r="T3" s="394"/>
    </row>
    <row r="4" spans="1:21" ht="15.75" customHeight="1" thickBot="1">
      <c r="A4" s="376"/>
      <c r="B4" s="376"/>
      <c r="C4" s="24"/>
      <c r="D4" s="24"/>
      <c r="E4" s="24"/>
      <c r="F4" s="24"/>
      <c r="H4" s="25"/>
      <c r="I4" s="25"/>
      <c r="J4" s="25"/>
      <c r="K4" s="25"/>
      <c r="L4" s="25"/>
      <c r="M4" s="25"/>
      <c r="N4" s="25"/>
      <c r="O4" s="25"/>
      <c r="P4" s="395"/>
      <c r="Q4" s="395"/>
      <c r="R4" s="395"/>
      <c r="S4" s="395"/>
      <c r="T4" s="395"/>
      <c r="U4" s="25"/>
    </row>
    <row r="5" spans="1:21" s="26" customFormat="1" ht="16.95" customHeight="1">
      <c r="A5" s="377" t="s">
        <v>4</v>
      </c>
      <c r="B5" s="378"/>
      <c r="C5" s="379"/>
      <c r="D5" s="380"/>
      <c r="E5" s="380"/>
      <c r="F5" s="380"/>
      <c r="G5" s="381"/>
      <c r="I5" s="444" t="s">
        <v>5</v>
      </c>
      <c r="J5" s="445"/>
      <c r="K5" s="445" t="s">
        <v>6</v>
      </c>
      <c r="L5" s="445"/>
      <c r="M5" s="445" t="s">
        <v>7</v>
      </c>
      <c r="N5" s="446"/>
      <c r="P5" s="384" t="s">
        <v>8</v>
      </c>
      <c r="Q5" s="385"/>
      <c r="R5" s="385"/>
      <c r="S5" s="385" t="s">
        <v>9</v>
      </c>
      <c r="T5" s="305"/>
      <c r="U5" s="27"/>
    </row>
    <row r="6" spans="1:21" s="26" customFormat="1" ht="16.95" customHeight="1">
      <c r="A6" s="367" t="s">
        <v>10</v>
      </c>
      <c r="B6" s="368"/>
      <c r="C6" s="441"/>
      <c r="D6" s="442"/>
      <c r="E6" s="442"/>
      <c r="F6" s="442"/>
      <c r="G6" s="443"/>
      <c r="I6" s="424" t="s">
        <v>11</v>
      </c>
      <c r="J6" s="425"/>
      <c r="K6" s="426" t="s">
        <v>12</v>
      </c>
      <c r="L6" s="426"/>
      <c r="M6" s="438"/>
      <c r="N6" s="440"/>
      <c r="P6" s="365" t="s">
        <v>13</v>
      </c>
      <c r="Q6" s="366"/>
      <c r="R6" s="29" t="s">
        <v>14</v>
      </c>
      <c r="S6" s="29" t="s">
        <v>15</v>
      </c>
      <c r="T6" s="30" t="s">
        <v>14</v>
      </c>
      <c r="U6" s="27"/>
    </row>
    <row r="7" spans="1:21" s="26" customFormat="1" ht="16.95" customHeight="1">
      <c r="A7" s="367" t="s">
        <v>16</v>
      </c>
      <c r="B7" s="368"/>
      <c r="C7" s="441"/>
      <c r="D7" s="442"/>
      <c r="E7" s="442"/>
      <c r="F7" s="442"/>
      <c r="G7" s="443"/>
      <c r="I7" s="424" t="s">
        <v>17</v>
      </c>
      <c r="J7" s="425"/>
      <c r="K7" s="426" t="s">
        <v>18</v>
      </c>
      <c r="L7" s="426"/>
      <c r="M7" s="427"/>
      <c r="N7" s="428"/>
      <c r="P7" s="372"/>
      <c r="Q7" s="373"/>
      <c r="R7" s="311"/>
      <c r="S7" s="311"/>
      <c r="T7" s="303"/>
      <c r="U7" s="25"/>
    </row>
    <row r="8" spans="1:21" s="26" customFormat="1" ht="16.95" customHeight="1">
      <c r="A8" s="367" t="s">
        <v>19</v>
      </c>
      <c r="B8" s="368"/>
      <c r="C8" s="369"/>
      <c r="D8" s="370"/>
      <c r="E8" s="370"/>
      <c r="F8" s="370"/>
      <c r="G8" s="371"/>
      <c r="I8" s="424" t="s">
        <v>20</v>
      </c>
      <c r="J8" s="425"/>
      <c r="K8" s="426" t="s">
        <v>18</v>
      </c>
      <c r="L8" s="426"/>
      <c r="M8" s="427"/>
      <c r="N8" s="428"/>
      <c r="P8" s="374"/>
      <c r="Q8" s="375"/>
      <c r="R8" s="312"/>
      <c r="S8" s="312"/>
      <c r="T8" s="304"/>
      <c r="U8" s="25"/>
    </row>
    <row r="9" spans="1:21" s="26" customFormat="1" ht="16.95" customHeight="1" thickBot="1">
      <c r="A9" s="358" t="s">
        <v>21</v>
      </c>
      <c r="B9" s="359"/>
      <c r="C9" s="360"/>
      <c r="D9" s="361"/>
      <c r="E9" s="361"/>
      <c r="F9" s="361"/>
      <c r="G9" s="362"/>
      <c r="I9" s="424" t="s">
        <v>22</v>
      </c>
      <c r="J9" s="425"/>
      <c r="K9" s="426" t="s">
        <v>18</v>
      </c>
      <c r="L9" s="426"/>
      <c r="M9" s="438"/>
      <c r="N9" s="440"/>
      <c r="P9" s="349" t="s">
        <v>313</v>
      </c>
      <c r="Q9" s="350"/>
      <c r="R9" s="31" t="s">
        <v>313</v>
      </c>
      <c r="S9" s="31"/>
      <c r="T9" s="32"/>
      <c r="U9" s="25"/>
    </row>
    <row r="10" spans="1:21" s="26" customFormat="1" ht="16.95" customHeight="1">
      <c r="A10" s="33"/>
      <c r="B10" s="33"/>
      <c r="C10" s="33"/>
      <c r="D10" s="33"/>
      <c r="E10" s="33"/>
      <c r="F10" s="33"/>
      <c r="G10" s="33"/>
      <c r="I10" s="436" t="s">
        <v>24</v>
      </c>
      <c r="J10" s="437"/>
      <c r="K10" s="438" t="s">
        <v>25</v>
      </c>
      <c r="L10" s="439"/>
      <c r="M10" s="438"/>
      <c r="N10" s="440"/>
      <c r="U10" s="25"/>
    </row>
    <row r="11" spans="1:21" s="26" customFormat="1" ht="16.95" customHeight="1">
      <c r="A11" s="33"/>
      <c r="B11" s="33"/>
      <c r="C11" s="25"/>
      <c r="D11" s="34"/>
      <c r="E11" s="34"/>
      <c r="F11" s="34"/>
      <c r="G11" s="34"/>
      <c r="I11" s="424" t="s">
        <v>26</v>
      </c>
      <c r="J11" s="425"/>
      <c r="K11" s="426" t="s">
        <v>18</v>
      </c>
      <c r="L11" s="426"/>
      <c r="M11" s="427"/>
      <c r="N11" s="428"/>
      <c r="U11" s="25"/>
    </row>
    <row r="12" spans="1:21" s="26" customFormat="1" ht="16.95" customHeight="1">
      <c r="A12" s="33"/>
      <c r="B12" s="33"/>
      <c r="C12" s="25"/>
      <c r="D12" s="34"/>
      <c r="E12" s="34"/>
      <c r="F12" s="34"/>
      <c r="G12" s="34"/>
      <c r="I12" s="424" t="s">
        <v>27</v>
      </c>
      <c r="J12" s="425"/>
      <c r="K12" s="426" t="s">
        <v>18</v>
      </c>
      <c r="L12" s="426"/>
      <c r="M12" s="427"/>
      <c r="N12" s="428"/>
      <c r="P12" s="35"/>
      <c r="U12" s="25"/>
    </row>
    <row r="13" spans="1:21" s="26" customFormat="1" ht="16.95" customHeight="1">
      <c r="A13" s="33"/>
      <c r="B13" s="33"/>
      <c r="C13" s="25"/>
      <c r="D13" s="34"/>
      <c r="E13" s="34"/>
      <c r="F13" s="34"/>
      <c r="G13" s="34"/>
      <c r="I13" s="424" t="s">
        <v>28</v>
      </c>
      <c r="J13" s="425"/>
      <c r="K13" s="426" t="s">
        <v>18</v>
      </c>
      <c r="L13" s="426"/>
      <c r="M13" s="427"/>
      <c r="N13" s="428"/>
      <c r="U13" s="25"/>
    </row>
    <row r="14" spans="1:21" s="26" customFormat="1" ht="16.95" customHeight="1" thickBot="1">
      <c r="A14" s="33"/>
      <c r="B14" s="33"/>
      <c r="C14" s="25"/>
      <c r="D14" s="34"/>
      <c r="E14" s="34"/>
      <c r="F14" s="34"/>
      <c r="G14" s="34"/>
      <c r="I14" s="429" t="s">
        <v>29</v>
      </c>
      <c r="J14" s="430"/>
      <c r="K14" s="431" t="s">
        <v>30</v>
      </c>
      <c r="L14" s="431"/>
      <c r="M14" s="432"/>
      <c r="N14" s="433"/>
      <c r="U14" s="25"/>
    </row>
    <row r="15" spans="1:21" ht="15.45" customHeight="1" thickBot="1">
      <c r="A15" s="36"/>
      <c r="B15" s="37"/>
      <c r="C15" s="37"/>
      <c r="D15" s="37"/>
      <c r="E15" s="37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</row>
    <row r="16" spans="1:21" ht="22.5" customHeight="1">
      <c r="A16" s="318" t="s">
        <v>31</v>
      </c>
      <c r="B16" s="320" t="s">
        <v>32</v>
      </c>
      <c r="C16" s="320" t="s">
        <v>33</v>
      </c>
      <c r="D16" s="320" t="s">
        <v>34</v>
      </c>
      <c r="E16" s="328" t="s">
        <v>315</v>
      </c>
      <c r="F16" s="320" t="s">
        <v>35</v>
      </c>
      <c r="G16" s="320" t="s">
        <v>36</v>
      </c>
      <c r="H16" s="340" t="s">
        <v>37</v>
      </c>
      <c r="I16" s="348"/>
      <c r="J16" s="348"/>
      <c r="K16" s="348"/>
      <c r="L16" s="313"/>
      <c r="M16" s="340" t="s">
        <v>38</v>
      </c>
      <c r="N16" s="348"/>
      <c r="O16" s="348"/>
      <c r="P16" s="313"/>
      <c r="Q16" s="340" t="s">
        <v>39</v>
      </c>
      <c r="R16" s="346" t="s">
        <v>40</v>
      </c>
      <c r="S16" s="313" t="s">
        <v>41</v>
      </c>
      <c r="T16" s="305" t="s">
        <v>42</v>
      </c>
    </row>
    <row r="17" spans="1:23" ht="22.5" customHeight="1" thickBot="1">
      <c r="A17" s="319"/>
      <c r="B17" s="321"/>
      <c r="C17" s="321"/>
      <c r="D17" s="321"/>
      <c r="E17" s="329"/>
      <c r="F17" s="321"/>
      <c r="G17" s="321"/>
      <c r="H17" s="38" t="s">
        <v>43</v>
      </c>
      <c r="I17" s="38" t="s">
        <v>44</v>
      </c>
      <c r="J17" s="38" t="s">
        <v>45</v>
      </c>
      <c r="K17" s="38" t="s">
        <v>46</v>
      </c>
      <c r="L17" s="38" t="s">
        <v>47</v>
      </c>
      <c r="M17" s="38" t="s">
        <v>43</v>
      </c>
      <c r="N17" s="38" t="s">
        <v>44</v>
      </c>
      <c r="O17" s="38" t="s">
        <v>45</v>
      </c>
      <c r="P17" s="38" t="s">
        <v>46</v>
      </c>
      <c r="Q17" s="341"/>
      <c r="R17" s="347"/>
      <c r="S17" s="314"/>
      <c r="T17" s="306"/>
    </row>
    <row r="18" spans="1:23" ht="29.4" customHeight="1">
      <c r="A18" s="334" t="s">
        <v>48</v>
      </c>
      <c r="B18" s="382">
        <v>1</v>
      </c>
      <c r="C18" s="417"/>
      <c r="D18" s="419"/>
      <c r="E18" s="210"/>
      <c r="F18" s="211" t="s">
        <v>49</v>
      </c>
      <c r="G18" s="212">
        <f>(M9)*M12*0.88*18/1000</f>
        <v>0</v>
      </c>
      <c r="H18" s="39"/>
      <c r="I18" s="40"/>
      <c r="J18" s="40"/>
      <c r="K18" s="40"/>
      <c r="L18" s="41"/>
      <c r="M18" s="42"/>
      <c r="N18" s="40"/>
      <c r="O18" s="40"/>
      <c r="P18" s="41"/>
      <c r="Q18" s="43"/>
      <c r="R18" s="44"/>
      <c r="S18" s="403" t="s">
        <v>50</v>
      </c>
      <c r="T18" s="408" t="s">
        <v>50</v>
      </c>
    </row>
    <row r="19" spans="1:23" ht="29.4" customHeight="1">
      <c r="A19" s="335"/>
      <c r="B19" s="416"/>
      <c r="C19" s="418"/>
      <c r="D19" s="420"/>
      <c r="E19" s="214"/>
      <c r="F19" s="215" t="s">
        <v>51</v>
      </c>
      <c r="G19" s="216">
        <f>M9</f>
        <v>0</v>
      </c>
      <c r="H19" s="47"/>
      <c r="I19" s="48"/>
      <c r="J19" s="48"/>
      <c r="K19" s="48"/>
      <c r="L19" s="49"/>
      <c r="M19" s="50"/>
      <c r="N19" s="48"/>
      <c r="O19" s="48"/>
      <c r="P19" s="49"/>
      <c r="Q19" s="197"/>
      <c r="R19" s="51"/>
      <c r="S19" s="404"/>
      <c r="T19" s="409"/>
    </row>
    <row r="20" spans="1:23" ht="29.4" customHeight="1">
      <c r="A20" s="335"/>
      <c r="B20" s="229">
        <v>2</v>
      </c>
      <c r="C20" s="217" t="s">
        <v>52</v>
      </c>
      <c r="D20" s="214" t="s">
        <v>329</v>
      </c>
      <c r="E20" s="217"/>
      <c r="F20" s="215" t="s">
        <v>49</v>
      </c>
      <c r="G20" s="218">
        <f>0.006*M9*0.7</f>
        <v>0</v>
      </c>
      <c r="H20" s="53"/>
      <c r="I20" s="29"/>
      <c r="J20" s="29"/>
      <c r="K20" s="29"/>
      <c r="L20" s="30"/>
      <c r="M20" s="54"/>
      <c r="N20" s="29"/>
      <c r="O20" s="29"/>
      <c r="P20" s="30"/>
      <c r="Q20" s="55"/>
      <c r="R20" s="56"/>
      <c r="S20" s="405"/>
      <c r="T20" s="410"/>
    </row>
    <row r="21" spans="1:23" ht="29.4" customHeight="1">
      <c r="A21" s="335"/>
      <c r="B21" s="229">
        <v>3</v>
      </c>
      <c r="C21" s="219" t="s">
        <v>338</v>
      </c>
      <c r="D21" s="220" t="s">
        <v>339</v>
      </c>
      <c r="E21" s="217"/>
      <c r="F21" s="215" t="s">
        <v>49</v>
      </c>
      <c r="G21" s="218">
        <f>0.006*M9*0.3</f>
        <v>0</v>
      </c>
      <c r="H21" s="58"/>
      <c r="I21" s="29"/>
      <c r="J21" s="29"/>
      <c r="K21" s="29"/>
      <c r="L21" s="30"/>
      <c r="M21" s="54"/>
      <c r="N21" s="29"/>
      <c r="O21" s="29"/>
      <c r="P21" s="30"/>
      <c r="Q21" s="55"/>
      <c r="R21" s="56"/>
      <c r="S21" s="405"/>
      <c r="T21" s="410"/>
      <c r="V21" s="33"/>
      <c r="W21" s="59"/>
    </row>
    <row r="22" spans="1:23" ht="29.4" customHeight="1">
      <c r="A22" s="335"/>
      <c r="B22" s="229">
        <v>4</v>
      </c>
      <c r="C22" s="219"/>
      <c r="D22" s="219"/>
      <c r="E22" s="221"/>
      <c r="F22" s="221"/>
      <c r="G22" s="222"/>
      <c r="H22" s="58"/>
      <c r="I22" s="29"/>
      <c r="J22" s="29"/>
      <c r="K22" s="29"/>
      <c r="L22" s="30"/>
      <c r="M22" s="54"/>
      <c r="N22" s="29"/>
      <c r="O22" s="29"/>
      <c r="P22" s="30"/>
      <c r="Q22" s="55"/>
      <c r="R22" s="56"/>
      <c r="S22" s="405"/>
      <c r="T22" s="410"/>
      <c r="V22" s="33"/>
      <c r="W22" s="59"/>
    </row>
    <row r="23" spans="1:23" ht="29.4" customHeight="1">
      <c r="A23" s="335"/>
      <c r="B23" s="229">
        <v>5</v>
      </c>
      <c r="C23" s="220"/>
      <c r="D23" s="220"/>
      <c r="E23" s="221"/>
      <c r="F23" s="223"/>
      <c r="G23" s="224"/>
      <c r="H23" s="58"/>
      <c r="I23" s="29"/>
      <c r="J23" s="29"/>
      <c r="K23" s="29"/>
      <c r="L23" s="30"/>
      <c r="M23" s="54"/>
      <c r="N23" s="29"/>
      <c r="O23" s="29"/>
      <c r="P23" s="30"/>
      <c r="Q23" s="55"/>
      <c r="R23" s="56"/>
      <c r="S23" s="405"/>
      <c r="T23" s="410"/>
      <c r="V23" s="33"/>
      <c r="W23" s="59"/>
    </row>
    <row r="24" spans="1:23" ht="29.4" customHeight="1">
      <c r="A24" s="335"/>
      <c r="B24" s="229">
        <v>6</v>
      </c>
      <c r="C24" s="220"/>
      <c r="D24" s="220"/>
      <c r="E24" s="221"/>
      <c r="F24" s="223"/>
      <c r="G24" s="224"/>
      <c r="H24" s="58"/>
      <c r="I24" s="29"/>
      <c r="J24" s="29"/>
      <c r="K24" s="29"/>
      <c r="L24" s="30"/>
      <c r="M24" s="54"/>
      <c r="N24" s="29"/>
      <c r="O24" s="29"/>
      <c r="P24" s="30"/>
      <c r="Q24" s="55"/>
      <c r="R24" s="56"/>
      <c r="S24" s="405"/>
      <c r="T24" s="410"/>
      <c r="V24" s="33"/>
      <c r="W24" s="59"/>
    </row>
    <row r="25" spans="1:23" ht="29.4" customHeight="1">
      <c r="A25" s="335"/>
      <c r="B25" s="229">
        <v>7</v>
      </c>
      <c r="C25" s="220"/>
      <c r="D25" s="220"/>
      <c r="E25" s="221"/>
      <c r="F25" s="223"/>
      <c r="G25" s="224"/>
      <c r="H25" s="58"/>
      <c r="I25" s="29"/>
      <c r="J25" s="29"/>
      <c r="K25" s="29"/>
      <c r="L25" s="30"/>
      <c r="M25" s="54"/>
      <c r="N25" s="29"/>
      <c r="O25" s="29"/>
      <c r="P25" s="30"/>
      <c r="Q25" s="55"/>
      <c r="R25" s="56"/>
      <c r="S25" s="405"/>
      <c r="T25" s="410"/>
      <c r="V25" s="33"/>
      <c r="W25" s="59"/>
    </row>
    <row r="26" spans="1:23" ht="29.4" customHeight="1">
      <c r="A26" s="335"/>
      <c r="B26" s="229">
        <v>8</v>
      </c>
      <c r="C26" s="220"/>
      <c r="D26" s="220"/>
      <c r="E26" s="221"/>
      <c r="F26" s="223"/>
      <c r="G26" s="224"/>
      <c r="H26" s="58"/>
      <c r="I26" s="29"/>
      <c r="J26" s="29"/>
      <c r="K26" s="29"/>
      <c r="L26" s="30"/>
      <c r="M26" s="54"/>
      <c r="N26" s="29"/>
      <c r="O26" s="29"/>
      <c r="P26" s="30"/>
      <c r="Q26" s="55"/>
      <c r="R26" s="56"/>
      <c r="S26" s="405"/>
      <c r="T26" s="410"/>
      <c r="V26" s="33"/>
      <c r="W26" s="59"/>
    </row>
    <row r="27" spans="1:23" ht="29.4" customHeight="1">
      <c r="A27" s="335"/>
      <c r="B27" s="229">
        <v>9</v>
      </c>
      <c r="C27" s="225" t="s">
        <v>53</v>
      </c>
      <c r="D27" s="214" t="s">
        <v>54</v>
      </c>
      <c r="E27" s="214"/>
      <c r="F27" s="215" t="s">
        <v>49</v>
      </c>
      <c r="G27" s="226"/>
      <c r="H27" s="62"/>
      <c r="I27" s="63"/>
      <c r="J27" s="63"/>
      <c r="K27" s="63"/>
      <c r="L27" s="64"/>
      <c r="M27" s="65"/>
      <c r="N27" s="63"/>
      <c r="O27" s="63"/>
      <c r="P27" s="64"/>
      <c r="Q27" s="196"/>
      <c r="R27" s="66"/>
      <c r="S27" s="406"/>
      <c r="T27" s="411"/>
      <c r="V27" s="33"/>
      <c r="W27" s="59"/>
    </row>
    <row r="28" spans="1:23" ht="29.4" customHeight="1" thickBot="1">
      <c r="A28" s="337"/>
      <c r="B28" s="229">
        <v>10</v>
      </c>
      <c r="C28" s="225" t="s">
        <v>320</v>
      </c>
      <c r="D28" s="214" t="s">
        <v>321</v>
      </c>
      <c r="E28" s="214"/>
      <c r="F28" s="215" t="s">
        <v>49</v>
      </c>
      <c r="G28" s="227"/>
      <c r="H28" s="68"/>
      <c r="I28" s="31"/>
      <c r="J28" s="31"/>
      <c r="K28" s="31"/>
      <c r="L28" s="69"/>
      <c r="M28" s="70"/>
      <c r="N28" s="31"/>
      <c r="O28" s="31"/>
      <c r="P28" s="69"/>
      <c r="Q28" s="71"/>
      <c r="R28" s="72"/>
      <c r="S28" s="407"/>
      <c r="T28" s="412"/>
      <c r="V28" s="33"/>
      <c r="W28" s="59"/>
    </row>
    <row r="29" spans="1:23" ht="27.45" customHeight="1" thickBot="1">
      <c r="A29" s="434" t="s">
        <v>55</v>
      </c>
      <c r="B29" s="435"/>
      <c r="C29" s="435"/>
      <c r="D29" s="73"/>
      <c r="E29" s="73"/>
      <c r="F29" s="74" t="s">
        <v>56</v>
      </c>
      <c r="G29" s="75">
        <f>M6</f>
        <v>0</v>
      </c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195"/>
      <c r="T29" s="76"/>
      <c r="V29" s="33"/>
      <c r="W29" s="59"/>
    </row>
    <row r="30" spans="1:23" ht="27.45" customHeight="1">
      <c r="A30" s="421" t="s">
        <v>57</v>
      </c>
      <c r="B30" s="376"/>
      <c r="C30" s="376"/>
      <c r="D30" s="376"/>
      <c r="E30" s="376"/>
      <c r="F30" s="376"/>
      <c r="G30" s="376"/>
      <c r="H30" s="323"/>
      <c r="I30" s="323"/>
      <c r="J30" s="323"/>
      <c r="K30" s="323"/>
      <c r="L30" s="323"/>
      <c r="M30" s="323"/>
      <c r="N30" s="323"/>
      <c r="O30" s="323"/>
      <c r="P30" s="323"/>
      <c r="Q30" s="323"/>
      <c r="R30" s="323"/>
      <c r="S30" s="323"/>
      <c r="T30" s="324"/>
    </row>
    <row r="31" spans="1:23" ht="27.45" customHeight="1" thickBot="1">
      <c r="A31" s="325"/>
      <c r="B31" s="326"/>
      <c r="C31" s="326"/>
      <c r="D31" s="326"/>
      <c r="E31" s="326"/>
      <c r="F31" s="326"/>
      <c r="G31" s="326"/>
      <c r="H31" s="326"/>
      <c r="I31" s="326"/>
      <c r="J31" s="326"/>
      <c r="K31" s="326"/>
      <c r="L31" s="326"/>
      <c r="M31" s="326"/>
      <c r="N31" s="326"/>
      <c r="O31" s="326"/>
      <c r="P31" s="326"/>
      <c r="Q31" s="326"/>
      <c r="R31" s="326"/>
      <c r="S31" s="326"/>
      <c r="T31" s="327"/>
    </row>
    <row r="36" spans="1:14">
      <c r="C36" s="77"/>
    </row>
    <row r="38" spans="1:14">
      <c r="A38" s="78" t="s">
        <v>5</v>
      </c>
      <c r="B38" s="78" t="s">
        <v>6</v>
      </c>
      <c r="C38" s="78" t="s">
        <v>7</v>
      </c>
    </row>
    <row r="39" spans="1:14">
      <c r="A39" s="78" t="s">
        <v>11</v>
      </c>
      <c r="B39" s="78" t="s">
        <v>12</v>
      </c>
      <c r="C39" s="79">
        <f t="shared" ref="C39:C47" si="0">M6</f>
        <v>0</v>
      </c>
      <c r="I39" s="423"/>
      <c r="J39" s="423"/>
      <c r="K39" s="423"/>
      <c r="L39" s="423"/>
      <c r="M39" s="423"/>
      <c r="N39" s="423"/>
    </row>
    <row r="40" spans="1:14">
      <c r="A40" s="78" t="s">
        <v>17</v>
      </c>
      <c r="B40" s="78" t="s">
        <v>18</v>
      </c>
      <c r="C40" s="80">
        <f t="shared" si="0"/>
        <v>0</v>
      </c>
      <c r="H40" s="23" t="s">
        <v>58</v>
      </c>
      <c r="I40" s="413"/>
      <c r="J40" s="413"/>
      <c r="K40" s="414"/>
      <c r="L40" s="414"/>
      <c r="M40" s="414"/>
      <c r="N40" s="414"/>
    </row>
    <row r="41" spans="1:14">
      <c r="A41" s="78" t="s">
        <v>20</v>
      </c>
      <c r="B41" s="78" t="s">
        <v>18</v>
      </c>
      <c r="C41" s="80">
        <f t="shared" si="0"/>
        <v>0</v>
      </c>
      <c r="I41" s="413"/>
      <c r="J41" s="413"/>
      <c r="K41" s="414"/>
      <c r="L41" s="414"/>
      <c r="M41" s="422"/>
      <c r="N41" s="422"/>
    </row>
    <row r="42" spans="1:14">
      <c r="A42" s="78" t="s">
        <v>22</v>
      </c>
      <c r="B42" s="78" t="s">
        <v>18</v>
      </c>
      <c r="C42" s="79">
        <f t="shared" si="0"/>
        <v>0</v>
      </c>
      <c r="I42" s="413"/>
      <c r="J42" s="413"/>
      <c r="K42" s="414"/>
      <c r="L42" s="414"/>
      <c r="M42" s="422"/>
      <c r="N42" s="422"/>
    </row>
    <row r="43" spans="1:14">
      <c r="A43" s="78" t="s">
        <v>24</v>
      </c>
      <c r="B43" s="78" t="s">
        <v>25</v>
      </c>
      <c r="C43" s="79">
        <f t="shared" si="0"/>
        <v>0</v>
      </c>
      <c r="I43" s="413"/>
      <c r="J43" s="413"/>
      <c r="K43" s="414"/>
      <c r="L43" s="414"/>
      <c r="M43" s="414"/>
      <c r="N43" s="414"/>
    </row>
    <row r="44" spans="1:14">
      <c r="A44" s="78" t="s">
        <v>26</v>
      </c>
      <c r="B44" s="78" t="s">
        <v>18</v>
      </c>
      <c r="C44" s="80">
        <f t="shared" si="0"/>
        <v>0</v>
      </c>
      <c r="I44" s="413"/>
      <c r="J44" s="413"/>
      <c r="K44" s="414"/>
      <c r="L44" s="414"/>
      <c r="M44" s="414"/>
      <c r="N44" s="414"/>
    </row>
    <row r="45" spans="1:14">
      <c r="A45" s="78" t="s">
        <v>27</v>
      </c>
      <c r="B45" s="78" t="s">
        <v>18</v>
      </c>
      <c r="C45" s="80">
        <f t="shared" si="0"/>
        <v>0</v>
      </c>
      <c r="I45" s="413"/>
      <c r="J45" s="413"/>
      <c r="K45" s="414"/>
      <c r="L45" s="414"/>
      <c r="M45" s="422"/>
      <c r="N45" s="422"/>
    </row>
    <row r="46" spans="1:14">
      <c r="A46" s="78" t="s">
        <v>28</v>
      </c>
      <c r="B46" s="78" t="s">
        <v>18</v>
      </c>
      <c r="C46" s="80">
        <f t="shared" si="0"/>
        <v>0</v>
      </c>
      <c r="I46" s="413"/>
      <c r="J46" s="413"/>
      <c r="K46" s="414"/>
      <c r="L46" s="414"/>
      <c r="M46" s="422"/>
      <c r="N46" s="422"/>
    </row>
    <row r="47" spans="1:14">
      <c r="A47" s="78" t="s">
        <v>29</v>
      </c>
      <c r="B47" s="78" t="s">
        <v>30</v>
      </c>
      <c r="C47" s="81">
        <f t="shared" si="0"/>
        <v>0</v>
      </c>
      <c r="I47" s="413"/>
      <c r="J47" s="413"/>
      <c r="K47" s="414"/>
      <c r="L47" s="414"/>
      <c r="M47" s="422"/>
      <c r="N47" s="422"/>
    </row>
    <row r="48" spans="1:14">
      <c r="I48" s="413"/>
      <c r="J48" s="413"/>
      <c r="K48" s="414"/>
      <c r="L48" s="414"/>
      <c r="M48" s="415"/>
      <c r="N48" s="415"/>
    </row>
  </sheetData>
  <mergeCells count="105">
    <mergeCell ref="R1:T1"/>
    <mergeCell ref="R2:T2"/>
    <mergeCell ref="R3:T3"/>
    <mergeCell ref="A4:B4"/>
    <mergeCell ref="P4:T4"/>
    <mergeCell ref="A5:B5"/>
    <mergeCell ref="C5:G5"/>
    <mergeCell ref="I5:J5"/>
    <mergeCell ref="K5:L5"/>
    <mergeCell ref="M5:N5"/>
    <mergeCell ref="P5:R5"/>
    <mergeCell ref="S5:T5"/>
    <mergeCell ref="A1:Q3"/>
    <mergeCell ref="A6:B6"/>
    <mergeCell ref="C6:G6"/>
    <mergeCell ref="I6:J6"/>
    <mergeCell ref="K6:L6"/>
    <mergeCell ref="M6:N6"/>
    <mergeCell ref="P6:Q6"/>
    <mergeCell ref="A7:B7"/>
    <mergeCell ref="C7:G7"/>
    <mergeCell ref="I7:J7"/>
    <mergeCell ref="K7:L7"/>
    <mergeCell ref="M7:N7"/>
    <mergeCell ref="A8:B8"/>
    <mergeCell ref="C8:G8"/>
    <mergeCell ref="I8:J8"/>
    <mergeCell ref="K8:L8"/>
    <mergeCell ref="M8:N8"/>
    <mergeCell ref="A9:B9"/>
    <mergeCell ref="C9:G9"/>
    <mergeCell ref="I9:J9"/>
    <mergeCell ref="K9:L9"/>
    <mergeCell ref="M9:N9"/>
    <mergeCell ref="I10:J10"/>
    <mergeCell ref="K10:L10"/>
    <mergeCell ref="M10:N10"/>
    <mergeCell ref="I11:J11"/>
    <mergeCell ref="K11:L11"/>
    <mergeCell ref="M11:N11"/>
    <mergeCell ref="I12:J12"/>
    <mergeCell ref="K12:L12"/>
    <mergeCell ref="M12:N12"/>
    <mergeCell ref="I13:J13"/>
    <mergeCell ref="K13:L13"/>
    <mergeCell ref="M13:N13"/>
    <mergeCell ref="I14:J14"/>
    <mergeCell ref="K14:L14"/>
    <mergeCell ref="M14:N14"/>
    <mergeCell ref="H16:L16"/>
    <mergeCell ref="M16:P16"/>
    <mergeCell ref="A29:C29"/>
    <mergeCell ref="I39:J39"/>
    <mergeCell ref="K39:L39"/>
    <mergeCell ref="M39:N39"/>
    <mergeCell ref="I40:J40"/>
    <mergeCell ref="K40:L40"/>
    <mergeCell ref="M40:N40"/>
    <mergeCell ref="I41:J41"/>
    <mergeCell ref="K41:L41"/>
    <mergeCell ref="M41:N41"/>
    <mergeCell ref="I42:J42"/>
    <mergeCell ref="K42:L42"/>
    <mergeCell ref="M42:N42"/>
    <mergeCell ref="I43:J43"/>
    <mergeCell ref="K43:L43"/>
    <mergeCell ref="M43:N43"/>
    <mergeCell ref="I44:J44"/>
    <mergeCell ref="K44:L44"/>
    <mergeCell ref="M44:N44"/>
    <mergeCell ref="I48:J48"/>
    <mergeCell ref="K48:L48"/>
    <mergeCell ref="M48:N48"/>
    <mergeCell ref="A16:A17"/>
    <mergeCell ref="A18:A28"/>
    <mergeCell ref="B16:B17"/>
    <mergeCell ref="B18:B19"/>
    <mergeCell ref="C16:C17"/>
    <mergeCell ref="C18:C19"/>
    <mergeCell ref="D16:D17"/>
    <mergeCell ref="D18:D19"/>
    <mergeCell ref="F16:F17"/>
    <mergeCell ref="G16:G17"/>
    <mergeCell ref="A30:T31"/>
    <mergeCell ref="E16:E17"/>
    <mergeCell ref="I45:J45"/>
    <mergeCell ref="K45:L45"/>
    <mergeCell ref="M45:N45"/>
    <mergeCell ref="I46:J46"/>
    <mergeCell ref="K46:L46"/>
    <mergeCell ref="M46:N46"/>
    <mergeCell ref="I47:J47"/>
    <mergeCell ref="K47:L47"/>
    <mergeCell ref="M47:N47"/>
    <mergeCell ref="Q16:Q17"/>
    <mergeCell ref="R7:R8"/>
    <mergeCell ref="R16:R17"/>
    <mergeCell ref="S7:S8"/>
    <mergeCell ref="S16:S17"/>
    <mergeCell ref="S18:S28"/>
    <mergeCell ref="T7:T8"/>
    <mergeCell ref="T16:T17"/>
    <mergeCell ref="T18:T28"/>
    <mergeCell ref="P7:Q8"/>
    <mergeCell ref="P9:Q9"/>
  </mergeCells>
  <conditionalFormatting sqref="D27:E27">
    <cfRule type="duplicateValues" dxfId="170" priority="21" stopIfTrue="1"/>
    <cfRule type="duplicateValues" dxfId="169" priority="26" stopIfTrue="1"/>
    <cfRule type="duplicateValues" dxfId="168" priority="27" stopIfTrue="1"/>
    <cfRule type="duplicateValues" dxfId="167" priority="28" stopIfTrue="1"/>
    <cfRule type="duplicateValues" dxfId="166" priority="29" stopIfTrue="1"/>
    <cfRule type="duplicateValues" dxfId="165" priority="30" stopIfTrue="1"/>
    <cfRule type="duplicateValues" dxfId="164" priority="31" stopIfTrue="1"/>
    <cfRule type="duplicateValues" dxfId="163" priority="32" stopIfTrue="1"/>
    <cfRule type="duplicateValues" dxfId="162" priority="33" stopIfTrue="1"/>
    <cfRule type="duplicateValues" dxfId="161" priority="34" stopIfTrue="1"/>
    <cfRule type="duplicateValues" dxfId="160" priority="61" stopIfTrue="1"/>
    <cfRule type="duplicateValues" dxfId="159" priority="35" stopIfTrue="1"/>
    <cfRule type="duplicateValues" dxfId="158" priority="36" stopIfTrue="1"/>
    <cfRule type="duplicateValues" dxfId="157" priority="37" stopIfTrue="1"/>
    <cfRule type="duplicateValues" dxfId="156" priority="38" stopIfTrue="1"/>
    <cfRule type="duplicateValues" dxfId="155" priority="39" stopIfTrue="1"/>
    <cfRule type="duplicateValues" dxfId="154" priority="40" stopIfTrue="1"/>
    <cfRule type="duplicateValues" dxfId="153" priority="41" stopIfTrue="1"/>
    <cfRule type="duplicateValues" dxfId="152" priority="19" stopIfTrue="1"/>
    <cfRule type="duplicateValues" dxfId="151" priority="20" stopIfTrue="1"/>
    <cfRule type="duplicateValues" dxfId="150" priority="42" stopIfTrue="1"/>
    <cfRule type="duplicateValues" dxfId="149" priority="22" stopIfTrue="1"/>
    <cfRule type="duplicateValues" dxfId="148" priority="23" stopIfTrue="1"/>
    <cfRule type="duplicateValues" dxfId="147" priority="24" stopIfTrue="1"/>
    <cfRule type="duplicateValues" dxfId="146" priority="25" stopIfTrue="1"/>
    <cfRule type="duplicateValues" dxfId="145" priority="62" stopIfTrue="1"/>
    <cfRule type="duplicateValues" dxfId="144" priority="63" stopIfTrue="1"/>
    <cfRule type="duplicateValues" dxfId="143" priority="64" stopIfTrue="1"/>
    <cfRule type="duplicateValues" dxfId="142" priority="65" stopIfTrue="1"/>
    <cfRule type="duplicateValues" dxfId="141" priority="66" stopIfTrue="1"/>
    <cfRule type="duplicateValues" dxfId="140" priority="73" stopIfTrue="1"/>
    <cfRule type="duplicateValues" dxfId="139" priority="74" stopIfTrue="1"/>
    <cfRule type="duplicateValues" dxfId="138" priority="75" stopIfTrue="1"/>
    <cfRule type="duplicateValues" dxfId="137" priority="76" stopIfTrue="1"/>
    <cfRule type="duplicateValues" dxfId="136" priority="77" stopIfTrue="1"/>
    <cfRule type="duplicateValues" dxfId="135" priority="78" stopIfTrue="1"/>
    <cfRule type="duplicateValues" dxfId="134" priority="79" stopIfTrue="1"/>
    <cfRule type="duplicateValues" dxfId="133" priority="80" stopIfTrue="1"/>
    <cfRule type="duplicateValues" dxfId="132" priority="81" stopIfTrue="1"/>
    <cfRule type="duplicateValues" dxfId="131" priority="82" stopIfTrue="1"/>
    <cfRule type="duplicateValues" dxfId="130" priority="83" stopIfTrue="1"/>
    <cfRule type="duplicateValues" dxfId="129" priority="84" stopIfTrue="1"/>
  </conditionalFormatting>
  <conditionalFormatting sqref="D28:E28">
    <cfRule type="duplicateValues" dxfId="128" priority="1" stopIfTrue="1"/>
    <cfRule type="duplicateValues" dxfId="127" priority="2" stopIfTrue="1"/>
    <cfRule type="duplicateValues" dxfId="126" priority="3" stopIfTrue="1"/>
    <cfRule type="duplicateValues" dxfId="125" priority="4" stopIfTrue="1"/>
    <cfRule type="duplicateValues" dxfId="124" priority="5" stopIfTrue="1"/>
    <cfRule type="duplicateValues" dxfId="123" priority="6" stopIfTrue="1"/>
    <cfRule type="duplicateValues" dxfId="122" priority="67" stopIfTrue="1"/>
    <cfRule type="duplicateValues" dxfId="121" priority="68" stopIfTrue="1"/>
    <cfRule type="duplicateValues" dxfId="120" priority="69" stopIfTrue="1"/>
    <cfRule type="duplicateValues" dxfId="119" priority="70" stopIfTrue="1"/>
    <cfRule type="duplicateValues" dxfId="118" priority="71" stopIfTrue="1"/>
    <cfRule type="duplicateValues" dxfId="117" priority="72" stopIfTrue="1"/>
    <cfRule type="duplicateValues" dxfId="116" priority="7" stopIfTrue="1"/>
    <cfRule type="duplicateValues" dxfId="115" priority="8" stopIfTrue="1"/>
    <cfRule type="duplicateValues" dxfId="114" priority="9" stopIfTrue="1"/>
    <cfRule type="duplicateValues" dxfId="113" priority="10" stopIfTrue="1"/>
    <cfRule type="duplicateValues" dxfId="112" priority="12" stopIfTrue="1"/>
    <cfRule type="duplicateValues" dxfId="111" priority="13" stopIfTrue="1"/>
    <cfRule type="duplicateValues" dxfId="110" priority="14" stopIfTrue="1"/>
    <cfRule type="duplicateValues" dxfId="109" priority="15" stopIfTrue="1"/>
    <cfRule type="duplicateValues" dxfId="108" priority="16" stopIfTrue="1"/>
    <cfRule type="duplicateValues" dxfId="107" priority="17" stopIfTrue="1"/>
    <cfRule type="duplicateValues" dxfId="106" priority="18" stopIfTrue="1"/>
    <cfRule type="duplicateValues" dxfId="105" priority="11" stopIfTrue="1"/>
    <cfRule type="duplicateValues" dxfId="104" priority="85" stopIfTrue="1"/>
    <cfRule type="duplicateValues" dxfId="103" priority="86" stopIfTrue="1"/>
    <cfRule type="duplicateValues" dxfId="102" priority="87" stopIfTrue="1"/>
    <cfRule type="duplicateValues" dxfId="101" priority="88" stopIfTrue="1"/>
    <cfRule type="duplicateValues" dxfId="100" priority="89" stopIfTrue="1"/>
    <cfRule type="duplicateValues" dxfId="99" priority="90" stopIfTrue="1"/>
    <cfRule type="duplicateValues" dxfId="98" priority="97" stopIfTrue="1"/>
    <cfRule type="duplicateValues" dxfId="97" priority="98" stopIfTrue="1"/>
    <cfRule type="duplicateValues" dxfId="96" priority="99" stopIfTrue="1"/>
    <cfRule type="duplicateValues" dxfId="95" priority="100" stopIfTrue="1"/>
    <cfRule type="duplicateValues" dxfId="94" priority="101" stopIfTrue="1"/>
    <cfRule type="duplicateValues" dxfId="93" priority="102" stopIfTrue="1"/>
    <cfRule type="duplicateValues" dxfId="92" priority="109" stopIfTrue="1"/>
    <cfRule type="duplicateValues" dxfId="91" priority="110" stopIfTrue="1"/>
    <cfRule type="duplicateValues" dxfId="90" priority="111" stopIfTrue="1"/>
    <cfRule type="duplicateValues" dxfId="89" priority="112" stopIfTrue="1"/>
    <cfRule type="duplicateValues" dxfId="88" priority="113" stopIfTrue="1"/>
    <cfRule type="duplicateValues" dxfId="87" priority="114" stopIfTrue="1"/>
  </conditionalFormatting>
  <printOptions horizontalCentered="1"/>
  <pageMargins left="0" right="0" top="0.75" bottom="0.75" header="0.3" footer="0.3"/>
  <pageSetup paperSize="9" scale="59" orientation="landscape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pageSetUpPr fitToPage="1"/>
  </sheetPr>
  <dimension ref="A1:V33"/>
  <sheetViews>
    <sheetView view="pageBreakPreview" topLeftCell="A3" zoomScale="85" zoomScaleNormal="100" zoomScaleSheetLayoutView="85" zoomScalePageLayoutView="80" workbookViewId="0">
      <selection activeCell="C17" sqref="C17"/>
    </sheetView>
  </sheetViews>
  <sheetFormatPr defaultColWidth="8.88671875" defaultRowHeight="13.8"/>
  <cols>
    <col min="1" max="1" width="9.44140625" style="23" customWidth="1"/>
    <col min="2" max="2" width="6.109375" style="23" customWidth="1"/>
    <col min="3" max="3" width="23.44140625" style="23" customWidth="1"/>
    <col min="4" max="5" width="21.109375" style="23" customWidth="1"/>
    <col min="6" max="6" width="7.44140625" style="34" customWidth="1"/>
    <col min="7" max="7" width="10" style="23" customWidth="1"/>
    <col min="8" max="16" width="9.44140625" style="23" customWidth="1"/>
    <col min="17" max="17" width="10.109375" style="23" customWidth="1"/>
    <col min="18" max="18" width="18.21875" style="23" customWidth="1"/>
    <col min="19" max="20" width="17.21875" style="23" customWidth="1"/>
    <col min="21" max="21" width="11.44140625" style="23" customWidth="1"/>
    <col min="22" max="16384" width="8.88671875" style="23"/>
  </cols>
  <sheetData>
    <row r="1" spans="1:21" ht="17.25" customHeight="1">
      <c r="A1" s="318" t="s">
        <v>0</v>
      </c>
      <c r="B1" s="320"/>
      <c r="C1" s="320"/>
      <c r="D1" s="320"/>
      <c r="E1" s="320"/>
      <c r="F1" s="320"/>
      <c r="G1" s="320"/>
      <c r="H1" s="320"/>
      <c r="I1" s="320"/>
      <c r="J1" s="320"/>
      <c r="K1" s="320"/>
      <c r="L1" s="320"/>
      <c r="M1" s="320"/>
      <c r="N1" s="320"/>
      <c r="O1" s="320"/>
      <c r="P1" s="320"/>
      <c r="Q1" s="396"/>
      <c r="R1" s="386" t="s">
        <v>1</v>
      </c>
      <c r="S1" s="387"/>
      <c r="T1" s="388"/>
    </row>
    <row r="2" spans="1:21" ht="17.25" customHeight="1">
      <c r="A2" s="397"/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9"/>
      <c r="R2" s="389" t="s">
        <v>2</v>
      </c>
      <c r="S2" s="390"/>
      <c r="T2" s="391"/>
    </row>
    <row r="3" spans="1:21" ht="17.25" customHeight="1" thickBot="1">
      <c r="A3" s="400"/>
      <c r="B3" s="401"/>
      <c r="C3" s="401"/>
      <c r="D3" s="401"/>
      <c r="E3" s="401"/>
      <c r="F3" s="401"/>
      <c r="G3" s="401"/>
      <c r="H3" s="401"/>
      <c r="I3" s="401"/>
      <c r="J3" s="401"/>
      <c r="K3" s="401"/>
      <c r="L3" s="401"/>
      <c r="M3" s="401"/>
      <c r="N3" s="401"/>
      <c r="O3" s="401"/>
      <c r="P3" s="401"/>
      <c r="Q3" s="402"/>
      <c r="R3" s="392" t="s">
        <v>3</v>
      </c>
      <c r="S3" s="393"/>
      <c r="T3" s="394"/>
    </row>
    <row r="4" spans="1:21" ht="15.75" customHeight="1" thickBot="1">
      <c r="A4" s="376"/>
      <c r="B4" s="376"/>
      <c r="C4" s="24"/>
      <c r="D4" s="24"/>
      <c r="E4" s="24"/>
      <c r="F4" s="24"/>
      <c r="H4" s="25"/>
      <c r="I4" s="25"/>
      <c r="J4" s="25"/>
      <c r="K4" s="25"/>
      <c r="L4" s="25"/>
      <c r="M4" s="25"/>
      <c r="N4" s="25"/>
      <c r="O4" s="25"/>
      <c r="P4" s="395"/>
      <c r="Q4" s="395"/>
      <c r="R4" s="395"/>
      <c r="S4" s="395"/>
      <c r="T4" s="395"/>
      <c r="U4" s="25"/>
    </row>
    <row r="5" spans="1:21" s="26" customFormat="1" ht="17.55" customHeight="1">
      <c r="A5" s="377" t="s">
        <v>4</v>
      </c>
      <c r="B5" s="378"/>
      <c r="C5" s="379">
        <f>In!C5:G5</f>
        <v>0</v>
      </c>
      <c r="D5" s="380"/>
      <c r="E5" s="380"/>
      <c r="F5" s="380"/>
      <c r="G5" s="381"/>
      <c r="I5" s="444" t="s">
        <v>5</v>
      </c>
      <c r="J5" s="445"/>
      <c r="K5" s="445" t="s">
        <v>6</v>
      </c>
      <c r="L5" s="445"/>
      <c r="M5" s="445" t="s">
        <v>7</v>
      </c>
      <c r="N5" s="446"/>
      <c r="P5" s="384" t="s">
        <v>8</v>
      </c>
      <c r="Q5" s="385"/>
      <c r="R5" s="385"/>
      <c r="S5" s="385" t="s">
        <v>9</v>
      </c>
      <c r="T5" s="305"/>
      <c r="U5" s="27"/>
    </row>
    <row r="6" spans="1:21" s="26" customFormat="1" ht="17.55" customHeight="1">
      <c r="A6" s="367" t="s">
        <v>10</v>
      </c>
      <c r="B6" s="368"/>
      <c r="C6" s="369">
        <f>In!C6:G6</f>
        <v>0</v>
      </c>
      <c r="D6" s="370"/>
      <c r="E6" s="370"/>
      <c r="F6" s="370"/>
      <c r="G6" s="371"/>
      <c r="I6" s="351" t="s">
        <v>11</v>
      </c>
      <c r="J6" s="352"/>
      <c r="K6" s="353" t="s">
        <v>12</v>
      </c>
      <c r="L6" s="353"/>
      <c r="M6" s="363">
        <f>In!M6</f>
        <v>0</v>
      </c>
      <c r="N6" s="364"/>
      <c r="P6" s="365" t="s">
        <v>13</v>
      </c>
      <c r="Q6" s="366"/>
      <c r="R6" s="29" t="s">
        <v>14</v>
      </c>
      <c r="S6" s="29" t="s">
        <v>15</v>
      </c>
      <c r="T6" s="30" t="s">
        <v>14</v>
      </c>
      <c r="U6" s="27"/>
    </row>
    <row r="7" spans="1:21" s="26" customFormat="1" ht="17.55" customHeight="1">
      <c r="A7" s="367" t="s">
        <v>16</v>
      </c>
      <c r="B7" s="368"/>
      <c r="C7" s="369">
        <f>In!C7:G7</f>
        <v>0</v>
      </c>
      <c r="D7" s="370"/>
      <c r="E7" s="370"/>
      <c r="F7" s="370"/>
      <c r="G7" s="371"/>
      <c r="I7" s="351" t="s">
        <v>63</v>
      </c>
      <c r="J7" s="352"/>
      <c r="K7" s="353" t="s">
        <v>18</v>
      </c>
      <c r="L7" s="353"/>
      <c r="M7" s="354">
        <f>In!M7:N7</f>
        <v>0</v>
      </c>
      <c r="N7" s="355"/>
      <c r="P7" s="372"/>
      <c r="Q7" s="373"/>
      <c r="R7" s="311"/>
      <c r="S7" s="311"/>
      <c r="T7" s="303"/>
      <c r="U7" s="25"/>
    </row>
    <row r="8" spans="1:21" s="26" customFormat="1" ht="17.55" customHeight="1">
      <c r="A8" s="367" t="s">
        <v>19</v>
      </c>
      <c r="B8" s="368"/>
      <c r="C8" s="369">
        <f>In!C8:G8</f>
        <v>0</v>
      </c>
      <c r="D8" s="370"/>
      <c r="E8" s="370"/>
      <c r="F8" s="370"/>
      <c r="G8" s="371"/>
      <c r="I8" s="351" t="s">
        <v>20</v>
      </c>
      <c r="J8" s="352"/>
      <c r="K8" s="353" t="s">
        <v>18</v>
      </c>
      <c r="L8" s="353"/>
      <c r="M8" s="354">
        <f>In!M8:N8</f>
        <v>0</v>
      </c>
      <c r="N8" s="355"/>
      <c r="P8" s="374"/>
      <c r="Q8" s="375"/>
      <c r="R8" s="312"/>
      <c r="S8" s="312"/>
      <c r="T8" s="304"/>
      <c r="U8" s="25"/>
    </row>
    <row r="9" spans="1:21" s="26" customFormat="1" ht="17.55" customHeight="1" thickBot="1">
      <c r="A9" s="358" t="s">
        <v>21</v>
      </c>
      <c r="B9" s="359"/>
      <c r="C9" s="360">
        <f>In!C9</f>
        <v>0</v>
      </c>
      <c r="D9" s="361"/>
      <c r="E9" s="361"/>
      <c r="F9" s="361"/>
      <c r="G9" s="362"/>
      <c r="I9" s="351" t="str">
        <f>In!I9:J9</f>
        <v>Số lượng in thực tế</v>
      </c>
      <c r="J9" s="352"/>
      <c r="K9" s="353" t="s">
        <v>18</v>
      </c>
      <c r="L9" s="353"/>
      <c r="M9" s="363"/>
      <c r="N9" s="364"/>
      <c r="P9" s="349" t="s">
        <v>313</v>
      </c>
      <c r="Q9" s="350"/>
      <c r="R9" s="31" t="s">
        <v>313</v>
      </c>
      <c r="S9" s="103"/>
      <c r="T9" s="32"/>
      <c r="U9" s="25"/>
    </row>
    <row r="10" spans="1:21" s="26" customFormat="1" ht="17.55" customHeight="1">
      <c r="A10" s="33"/>
      <c r="B10" s="33"/>
      <c r="C10" s="25"/>
      <c r="D10" s="34"/>
      <c r="E10" s="34"/>
      <c r="F10" s="34"/>
      <c r="G10" s="34"/>
      <c r="I10" s="351" t="s">
        <v>26</v>
      </c>
      <c r="J10" s="352"/>
      <c r="K10" s="353" t="s">
        <v>18</v>
      </c>
      <c r="L10" s="353"/>
      <c r="M10" s="354"/>
      <c r="N10" s="355"/>
      <c r="U10" s="25"/>
    </row>
    <row r="11" spans="1:21" s="26" customFormat="1" ht="17.55" customHeight="1">
      <c r="A11" s="33"/>
      <c r="B11" s="33"/>
      <c r="C11" s="25"/>
      <c r="D11" s="34"/>
      <c r="E11" s="34"/>
      <c r="F11" s="34"/>
      <c r="G11" s="34"/>
      <c r="I11" s="351" t="s">
        <v>27</v>
      </c>
      <c r="J11" s="352"/>
      <c r="K11" s="353" t="s">
        <v>18</v>
      </c>
      <c r="L11" s="353"/>
      <c r="M11" s="354"/>
      <c r="N11" s="355"/>
      <c r="U11" s="25"/>
    </row>
    <row r="12" spans="1:21" s="26" customFormat="1" ht="17.55" customHeight="1">
      <c r="A12" s="33"/>
      <c r="B12" s="33"/>
      <c r="C12" s="25"/>
      <c r="D12" s="34"/>
      <c r="E12" s="34"/>
      <c r="F12" s="34"/>
      <c r="G12" s="34"/>
      <c r="I12" s="351" t="s">
        <v>28</v>
      </c>
      <c r="J12" s="352"/>
      <c r="K12" s="353" t="s">
        <v>18</v>
      </c>
      <c r="L12" s="353"/>
      <c r="M12" s="354"/>
      <c r="N12" s="355"/>
      <c r="U12" s="25"/>
    </row>
    <row r="13" spans="1:21" s="26" customFormat="1" ht="17.55" customHeight="1" thickBot="1">
      <c r="A13" s="33"/>
      <c r="B13" s="33"/>
      <c r="C13" s="25"/>
      <c r="D13" s="34"/>
      <c r="E13" s="34"/>
      <c r="F13" s="34"/>
      <c r="G13" s="34"/>
      <c r="I13" s="356" t="s">
        <v>29</v>
      </c>
      <c r="J13" s="357"/>
      <c r="K13" s="315" t="s">
        <v>30</v>
      </c>
      <c r="L13" s="315"/>
      <c r="M13" s="316">
        <f>In!M14:N14</f>
        <v>0</v>
      </c>
      <c r="N13" s="317"/>
      <c r="U13" s="25"/>
    </row>
    <row r="14" spans="1:21" ht="15.45" customHeight="1" thickBot="1">
      <c r="A14" s="36"/>
      <c r="B14" s="37"/>
      <c r="C14" s="37"/>
      <c r="D14" s="37"/>
      <c r="E14" s="37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</row>
    <row r="15" spans="1:21" ht="33" customHeight="1">
      <c r="A15" s="318" t="s">
        <v>31</v>
      </c>
      <c r="B15" s="320" t="s">
        <v>32</v>
      </c>
      <c r="C15" s="320" t="s">
        <v>33</v>
      </c>
      <c r="D15" s="320" t="s">
        <v>34</v>
      </c>
      <c r="E15" s="328" t="s">
        <v>315</v>
      </c>
      <c r="F15" s="320" t="s">
        <v>35</v>
      </c>
      <c r="G15" s="320" t="s">
        <v>36</v>
      </c>
      <c r="H15" s="340" t="s">
        <v>37</v>
      </c>
      <c r="I15" s="348"/>
      <c r="J15" s="348"/>
      <c r="K15" s="348"/>
      <c r="L15" s="313"/>
      <c r="M15" s="340" t="s">
        <v>38</v>
      </c>
      <c r="N15" s="348"/>
      <c r="O15" s="348"/>
      <c r="P15" s="313"/>
      <c r="Q15" s="340" t="s">
        <v>39</v>
      </c>
      <c r="R15" s="346" t="s">
        <v>40</v>
      </c>
      <c r="S15" s="313" t="s">
        <v>41</v>
      </c>
      <c r="T15" s="305" t="s">
        <v>42</v>
      </c>
    </row>
    <row r="16" spans="1:21" ht="33" customHeight="1" thickBot="1">
      <c r="A16" s="400"/>
      <c r="B16" s="401"/>
      <c r="C16" s="401"/>
      <c r="D16" s="401"/>
      <c r="E16" s="329"/>
      <c r="F16" s="401"/>
      <c r="G16" s="401"/>
      <c r="H16" s="38" t="s">
        <v>43</v>
      </c>
      <c r="I16" s="38" t="s">
        <v>44</v>
      </c>
      <c r="J16" s="38" t="s">
        <v>45</v>
      </c>
      <c r="K16" s="38" t="s">
        <v>46</v>
      </c>
      <c r="L16" s="38" t="s">
        <v>47</v>
      </c>
      <c r="M16" s="38" t="s">
        <v>43</v>
      </c>
      <c r="N16" s="38" t="s">
        <v>44</v>
      </c>
      <c r="O16" s="38" t="s">
        <v>45</v>
      </c>
      <c r="P16" s="38" t="s">
        <v>46</v>
      </c>
      <c r="Q16" s="341"/>
      <c r="R16" s="347"/>
      <c r="S16" s="314"/>
      <c r="T16" s="306"/>
    </row>
    <row r="17" spans="1:22" ht="30" customHeight="1">
      <c r="A17" s="334" t="s">
        <v>64</v>
      </c>
      <c r="B17" s="228">
        <v>1</v>
      </c>
      <c r="C17" s="217"/>
      <c r="D17" s="217"/>
      <c r="E17" s="232"/>
      <c r="F17" s="233" t="s">
        <v>49</v>
      </c>
      <c r="G17" s="234"/>
      <c r="H17" s="42"/>
      <c r="I17" s="40"/>
      <c r="J17" s="40"/>
      <c r="K17" s="40"/>
      <c r="L17" s="41"/>
      <c r="M17" s="42"/>
      <c r="N17" s="40"/>
      <c r="O17" s="40"/>
      <c r="P17" s="41"/>
      <c r="Q17" s="44"/>
      <c r="R17" s="44"/>
      <c r="S17" s="378" t="s">
        <v>50</v>
      </c>
      <c r="T17" s="388" t="s">
        <v>50</v>
      </c>
      <c r="V17" s="190"/>
    </row>
    <row r="18" spans="1:22" ht="30" customHeight="1">
      <c r="A18" s="335"/>
      <c r="B18" s="229">
        <v>2</v>
      </c>
      <c r="C18" s="217" t="s">
        <v>342</v>
      </c>
      <c r="D18" s="217" t="s">
        <v>343</v>
      </c>
      <c r="E18" s="217"/>
      <c r="F18" s="235" t="s">
        <v>49</v>
      </c>
      <c r="G18" s="236">
        <f>M9*M10*0.02*0.85</f>
        <v>0</v>
      </c>
      <c r="H18" s="54"/>
      <c r="I18" s="29"/>
      <c r="J18" s="29"/>
      <c r="K18" s="29"/>
      <c r="L18" s="30"/>
      <c r="M18" s="54"/>
      <c r="N18" s="29"/>
      <c r="O18" s="29"/>
      <c r="P18" s="30"/>
      <c r="Q18" s="56"/>
      <c r="R18" s="56"/>
      <c r="S18" s="447"/>
      <c r="T18" s="308"/>
      <c r="U18" s="34"/>
      <c r="V18" s="190"/>
    </row>
    <row r="19" spans="1:22" ht="30" customHeight="1">
      <c r="A19" s="335"/>
      <c r="B19" s="229">
        <v>3</v>
      </c>
      <c r="C19" s="217" t="s">
        <v>65</v>
      </c>
      <c r="D19" s="217" t="s">
        <v>66</v>
      </c>
      <c r="E19" s="217"/>
      <c r="F19" s="235" t="s">
        <v>49</v>
      </c>
      <c r="G19" s="237">
        <f>M9*M10*0.02*0.07</f>
        <v>0</v>
      </c>
      <c r="H19" s="54"/>
      <c r="I19" s="29"/>
      <c r="J19" s="29"/>
      <c r="K19" s="29"/>
      <c r="L19" s="30"/>
      <c r="M19" s="54"/>
      <c r="N19" s="29"/>
      <c r="O19" s="29"/>
      <c r="P19" s="30"/>
      <c r="Q19" s="56"/>
      <c r="R19" s="56"/>
      <c r="S19" s="447"/>
      <c r="T19" s="308"/>
      <c r="U19" s="34"/>
    </row>
    <row r="20" spans="1:22" ht="30" customHeight="1">
      <c r="A20" s="335"/>
      <c r="B20" s="229">
        <v>4</v>
      </c>
      <c r="C20" s="217" t="s">
        <v>344</v>
      </c>
      <c r="D20" s="217" t="s">
        <v>345</v>
      </c>
      <c r="E20" s="217"/>
      <c r="F20" s="235" t="s">
        <v>49</v>
      </c>
      <c r="G20" s="237">
        <f>M9*M10*0.02*0.08</f>
        <v>0</v>
      </c>
      <c r="H20" s="54"/>
      <c r="I20" s="29"/>
      <c r="J20" s="29"/>
      <c r="K20" s="29"/>
      <c r="L20" s="30"/>
      <c r="M20" s="54"/>
      <c r="N20" s="29"/>
      <c r="O20" s="29"/>
      <c r="P20" s="30"/>
      <c r="Q20" s="56"/>
      <c r="R20" s="56"/>
      <c r="S20" s="447"/>
      <c r="T20" s="308"/>
      <c r="U20" s="34"/>
    </row>
    <row r="21" spans="1:22" ht="30" customHeight="1">
      <c r="A21" s="335"/>
      <c r="B21" s="229">
        <v>5</v>
      </c>
      <c r="C21" s="217"/>
      <c r="D21" s="217"/>
      <c r="E21" s="217"/>
      <c r="F21" s="235"/>
      <c r="G21" s="238"/>
      <c r="H21" s="54"/>
      <c r="I21" s="29"/>
      <c r="J21" s="29"/>
      <c r="K21" s="29"/>
      <c r="L21" s="30"/>
      <c r="M21" s="54"/>
      <c r="N21" s="29"/>
      <c r="O21" s="29"/>
      <c r="P21" s="30"/>
      <c r="Q21" s="56"/>
      <c r="R21" s="56"/>
      <c r="S21" s="447"/>
      <c r="T21" s="308"/>
      <c r="U21" s="34"/>
    </row>
    <row r="22" spans="1:22" ht="30" customHeight="1" thickBot="1">
      <c r="A22" s="337"/>
      <c r="B22" s="239">
        <v>6</v>
      </c>
      <c r="C22" s="240"/>
      <c r="D22" s="231"/>
      <c r="E22" s="231"/>
      <c r="F22" s="241"/>
      <c r="G22" s="242"/>
      <c r="H22" s="70"/>
      <c r="I22" s="31"/>
      <c r="J22" s="31"/>
      <c r="K22" s="31"/>
      <c r="L22" s="69"/>
      <c r="M22" s="70"/>
      <c r="N22" s="31"/>
      <c r="O22" s="31"/>
      <c r="P22" s="69"/>
      <c r="Q22" s="72"/>
      <c r="R22" s="72"/>
      <c r="S22" s="448"/>
      <c r="T22" s="310"/>
      <c r="U22" s="34"/>
    </row>
    <row r="23" spans="1:22" ht="29.55" customHeight="1">
      <c r="A23" s="322" t="s">
        <v>57</v>
      </c>
      <c r="B23" s="323"/>
      <c r="C23" s="323"/>
      <c r="D23" s="323"/>
      <c r="E23" s="323"/>
      <c r="F23" s="323"/>
      <c r="G23" s="323"/>
      <c r="H23" s="323"/>
      <c r="I23" s="323"/>
      <c r="J23" s="323"/>
      <c r="K23" s="323"/>
      <c r="L23" s="323"/>
      <c r="M23" s="323"/>
      <c r="N23" s="323"/>
      <c r="O23" s="323"/>
      <c r="P23" s="323"/>
      <c r="Q23" s="323"/>
      <c r="R23" s="323"/>
      <c r="S23" s="323"/>
      <c r="T23" s="324"/>
    </row>
    <row r="24" spans="1:22" ht="29.55" customHeight="1" thickBot="1">
      <c r="A24" s="325"/>
      <c r="B24" s="326"/>
      <c r="C24" s="326"/>
      <c r="D24" s="326"/>
      <c r="E24" s="326"/>
      <c r="F24" s="326"/>
      <c r="G24" s="326"/>
      <c r="H24" s="326"/>
      <c r="I24" s="326"/>
      <c r="J24" s="326"/>
      <c r="K24" s="326"/>
      <c r="L24" s="326"/>
      <c r="M24" s="326"/>
      <c r="N24" s="326"/>
      <c r="O24" s="326"/>
      <c r="P24" s="326"/>
      <c r="Q24" s="326"/>
      <c r="R24" s="326"/>
      <c r="S24" s="326"/>
      <c r="T24" s="327"/>
    </row>
    <row r="33" spans="8:8">
      <c r="H33" s="23" t="s">
        <v>58</v>
      </c>
    </row>
  </sheetData>
  <mergeCells count="68">
    <mergeCell ref="A4:B4"/>
    <mergeCell ref="P4:T4"/>
    <mergeCell ref="A1:Q3"/>
    <mergeCell ref="P5:R5"/>
    <mergeCell ref="S5:T5"/>
    <mergeCell ref="R1:T1"/>
    <mergeCell ref="R2:T2"/>
    <mergeCell ref="R3:T3"/>
    <mergeCell ref="A5:B5"/>
    <mergeCell ref="C5:G5"/>
    <mergeCell ref="I5:J5"/>
    <mergeCell ref="K5:L5"/>
    <mergeCell ref="M5:N5"/>
    <mergeCell ref="P6:Q6"/>
    <mergeCell ref="A7:B7"/>
    <mergeCell ref="C7:G7"/>
    <mergeCell ref="I7:J7"/>
    <mergeCell ref="K7:L7"/>
    <mergeCell ref="M7:N7"/>
    <mergeCell ref="A6:B6"/>
    <mergeCell ref="C6:G6"/>
    <mergeCell ref="I6:J6"/>
    <mergeCell ref="K6:L6"/>
    <mergeCell ref="M6:N6"/>
    <mergeCell ref="P7:Q8"/>
    <mergeCell ref="A8:B8"/>
    <mergeCell ref="C8:G8"/>
    <mergeCell ref="I8:J8"/>
    <mergeCell ref="K8:L8"/>
    <mergeCell ref="A9:B9"/>
    <mergeCell ref="C9:G9"/>
    <mergeCell ref="I9:J9"/>
    <mergeCell ref="K9:L9"/>
    <mergeCell ref="M9:N9"/>
    <mergeCell ref="Q15:Q16"/>
    <mergeCell ref="R7:R8"/>
    <mergeCell ref="R15:R16"/>
    <mergeCell ref="H15:L15"/>
    <mergeCell ref="M15:P15"/>
    <mergeCell ref="P9:Q9"/>
    <mergeCell ref="I10:J10"/>
    <mergeCell ref="K10:L10"/>
    <mergeCell ref="M10:N10"/>
    <mergeCell ref="I11:J11"/>
    <mergeCell ref="K11:L11"/>
    <mergeCell ref="M11:N11"/>
    <mergeCell ref="M8:N8"/>
    <mergeCell ref="G15:G16"/>
    <mergeCell ref="I12:J12"/>
    <mergeCell ref="K12:L12"/>
    <mergeCell ref="M12:N12"/>
    <mergeCell ref="A23:T24"/>
    <mergeCell ref="E15:E16"/>
    <mergeCell ref="S17:S22"/>
    <mergeCell ref="A17:A22"/>
    <mergeCell ref="I13:J13"/>
    <mergeCell ref="K13:L13"/>
    <mergeCell ref="M13:N13"/>
    <mergeCell ref="A15:A16"/>
    <mergeCell ref="B15:B16"/>
    <mergeCell ref="C15:C16"/>
    <mergeCell ref="D15:D16"/>
    <mergeCell ref="F15:F16"/>
    <mergeCell ref="T7:T8"/>
    <mergeCell ref="T15:T16"/>
    <mergeCell ref="T17:T22"/>
    <mergeCell ref="S7:S8"/>
    <mergeCell ref="S15:S16"/>
  </mergeCells>
  <conditionalFormatting sqref="D17:E17">
    <cfRule type="duplicateValues" dxfId="86" priority="1" stopIfTrue="1"/>
    <cfRule type="duplicateValues" dxfId="85" priority="2" stopIfTrue="1"/>
    <cfRule type="duplicateValues" dxfId="84" priority="3" stopIfTrue="1"/>
    <cfRule type="duplicateValues" dxfId="83" priority="4" stopIfTrue="1"/>
    <cfRule type="duplicateValues" dxfId="82" priority="5"/>
  </conditionalFormatting>
  <printOptions horizontalCentered="1"/>
  <pageMargins left="0" right="0" top="0.75" bottom="0.75" header="0.3" footer="0.3"/>
  <pageSetup paperSize="9" scale="59" orientation="landscape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pageSetUpPr fitToPage="1"/>
  </sheetPr>
  <dimension ref="A1:Y29"/>
  <sheetViews>
    <sheetView view="pageBreakPreview" topLeftCell="A5" zoomScale="93" zoomScaleNormal="100" zoomScalePageLayoutView="80" workbookViewId="0">
      <selection activeCell="M11" sqref="M11:N11"/>
    </sheetView>
  </sheetViews>
  <sheetFormatPr defaultColWidth="8.88671875" defaultRowHeight="13.8"/>
  <cols>
    <col min="1" max="1" width="9.44140625" style="23" customWidth="1"/>
    <col min="2" max="2" width="6.109375" style="23" customWidth="1"/>
    <col min="3" max="3" width="23.44140625" style="23" customWidth="1"/>
    <col min="4" max="5" width="21.109375" style="23" customWidth="1"/>
    <col min="6" max="6" width="7.44140625" style="34" customWidth="1"/>
    <col min="7" max="7" width="10" style="23" customWidth="1"/>
    <col min="8" max="16" width="9.44140625" style="23" customWidth="1"/>
    <col min="17" max="17" width="10.109375" style="23" customWidth="1"/>
    <col min="18" max="18" width="18.21875" style="23" customWidth="1"/>
    <col min="19" max="20" width="17.21875" style="23" customWidth="1"/>
    <col min="21" max="21" width="11.44140625" style="23" customWidth="1"/>
    <col min="22" max="23" width="10.44140625" style="23" customWidth="1"/>
    <col min="24" max="16384" width="8.88671875" style="23"/>
  </cols>
  <sheetData>
    <row r="1" spans="1:25" ht="17.25" customHeight="1">
      <c r="A1" s="318" t="s">
        <v>0</v>
      </c>
      <c r="B1" s="320"/>
      <c r="C1" s="320"/>
      <c r="D1" s="320"/>
      <c r="E1" s="320"/>
      <c r="F1" s="320"/>
      <c r="G1" s="320"/>
      <c r="H1" s="320"/>
      <c r="I1" s="320"/>
      <c r="J1" s="320"/>
      <c r="K1" s="320"/>
      <c r="L1" s="320"/>
      <c r="M1" s="320"/>
      <c r="N1" s="320"/>
      <c r="O1" s="320"/>
      <c r="P1" s="320"/>
      <c r="Q1" s="396"/>
      <c r="R1" s="386" t="s">
        <v>1</v>
      </c>
      <c r="S1" s="387"/>
      <c r="T1" s="388"/>
    </row>
    <row r="2" spans="1:25" ht="17.25" customHeight="1">
      <c r="A2" s="397"/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9"/>
      <c r="R2" s="389" t="s">
        <v>2</v>
      </c>
      <c r="S2" s="390"/>
      <c r="T2" s="391"/>
    </row>
    <row r="3" spans="1:25" ht="17.25" customHeight="1">
      <c r="A3" s="400"/>
      <c r="B3" s="401"/>
      <c r="C3" s="401"/>
      <c r="D3" s="401"/>
      <c r="E3" s="401"/>
      <c r="F3" s="401"/>
      <c r="G3" s="401"/>
      <c r="H3" s="401"/>
      <c r="I3" s="401"/>
      <c r="J3" s="401"/>
      <c r="K3" s="401"/>
      <c r="L3" s="401"/>
      <c r="M3" s="401"/>
      <c r="N3" s="401"/>
      <c r="O3" s="401"/>
      <c r="P3" s="401"/>
      <c r="Q3" s="402"/>
      <c r="R3" s="392" t="s">
        <v>3</v>
      </c>
      <c r="S3" s="393"/>
      <c r="T3" s="394"/>
    </row>
    <row r="4" spans="1:25" ht="15.75" customHeight="1">
      <c r="A4" s="376"/>
      <c r="B4" s="376"/>
      <c r="C4" s="24"/>
      <c r="D4" s="24"/>
      <c r="E4" s="24"/>
      <c r="F4" s="24"/>
      <c r="H4" s="25"/>
      <c r="I4" s="25"/>
      <c r="J4" s="25"/>
      <c r="K4" s="25"/>
      <c r="L4" s="25"/>
      <c r="M4" s="25"/>
      <c r="N4" s="25"/>
      <c r="O4" s="25"/>
      <c r="P4" s="395"/>
      <c r="Q4" s="395"/>
      <c r="R4" s="395"/>
      <c r="S4" s="395"/>
      <c r="T4" s="395"/>
      <c r="U4" s="25"/>
      <c r="V4" s="376"/>
      <c r="W4" s="376"/>
    </row>
    <row r="5" spans="1:25" s="26" customFormat="1" ht="18.45" customHeight="1" thickBot="1">
      <c r="A5" s="377" t="s">
        <v>4</v>
      </c>
      <c r="B5" s="378"/>
      <c r="C5" s="379">
        <f>In!C5</f>
        <v>0</v>
      </c>
      <c r="D5" s="380"/>
      <c r="E5" s="380"/>
      <c r="F5" s="380"/>
      <c r="G5" s="381"/>
      <c r="I5" s="444" t="s">
        <v>5</v>
      </c>
      <c r="J5" s="445"/>
      <c r="K5" s="445" t="s">
        <v>6</v>
      </c>
      <c r="L5" s="445"/>
      <c r="M5" s="445" t="s">
        <v>7</v>
      </c>
      <c r="N5" s="446"/>
      <c r="P5" s="384" t="s">
        <v>8</v>
      </c>
      <c r="Q5" s="385"/>
      <c r="R5" s="385"/>
      <c r="S5" s="385" t="s">
        <v>9</v>
      </c>
      <c r="T5" s="305"/>
      <c r="U5" s="27"/>
      <c r="V5" s="27" t="s">
        <v>59</v>
      </c>
      <c r="W5" s="27" t="s">
        <v>60</v>
      </c>
      <c r="X5" s="26" t="s">
        <v>61</v>
      </c>
      <c r="Y5" s="26" t="s">
        <v>62</v>
      </c>
    </row>
    <row r="6" spans="1:25" s="26" customFormat="1" ht="18.45" customHeight="1" thickBot="1">
      <c r="A6" s="367" t="s">
        <v>10</v>
      </c>
      <c r="B6" s="368"/>
      <c r="C6" s="379">
        <f>In!C6</f>
        <v>0</v>
      </c>
      <c r="D6" s="380"/>
      <c r="E6" s="380"/>
      <c r="F6" s="380"/>
      <c r="G6" s="381"/>
      <c r="I6" s="351" t="s">
        <v>11</v>
      </c>
      <c r="J6" s="352"/>
      <c r="K6" s="353" t="s">
        <v>12</v>
      </c>
      <c r="L6" s="353"/>
      <c r="M6" s="363">
        <f>In!M6</f>
        <v>0</v>
      </c>
      <c r="N6" s="364"/>
      <c r="P6" s="365" t="s">
        <v>13</v>
      </c>
      <c r="Q6" s="366"/>
      <c r="R6" s="29" t="s">
        <v>14</v>
      </c>
      <c r="S6" s="29" t="s">
        <v>15</v>
      </c>
      <c r="T6" s="30" t="s">
        <v>14</v>
      </c>
      <c r="U6" s="27"/>
      <c r="V6" s="27"/>
      <c r="W6" s="27"/>
    </row>
    <row r="7" spans="1:25" s="26" customFormat="1" ht="18.45" customHeight="1" thickBot="1">
      <c r="A7" s="367" t="s">
        <v>16</v>
      </c>
      <c r="B7" s="368"/>
      <c r="C7" s="379">
        <f>In!C7</f>
        <v>0</v>
      </c>
      <c r="D7" s="380"/>
      <c r="E7" s="380"/>
      <c r="F7" s="380"/>
      <c r="G7" s="381"/>
      <c r="I7" s="351" t="s">
        <v>63</v>
      </c>
      <c r="J7" s="352"/>
      <c r="K7" s="353" t="s">
        <v>18</v>
      </c>
      <c r="L7" s="353"/>
      <c r="M7" s="354">
        <f>In!M7:N7</f>
        <v>0</v>
      </c>
      <c r="N7" s="355"/>
      <c r="P7" s="372"/>
      <c r="Q7" s="373"/>
      <c r="R7" s="311"/>
      <c r="S7" s="311"/>
      <c r="T7" s="303"/>
      <c r="U7" s="25"/>
      <c r="V7" s="25"/>
      <c r="W7" s="25"/>
    </row>
    <row r="8" spans="1:25" s="26" customFormat="1" ht="18.45" customHeight="1" thickBot="1">
      <c r="A8" s="367" t="s">
        <v>19</v>
      </c>
      <c r="B8" s="368"/>
      <c r="C8" s="379">
        <f>In!C8</f>
        <v>0</v>
      </c>
      <c r="D8" s="380"/>
      <c r="E8" s="380"/>
      <c r="F8" s="380"/>
      <c r="G8" s="381"/>
      <c r="I8" s="351" t="s">
        <v>20</v>
      </c>
      <c r="J8" s="352"/>
      <c r="K8" s="353" t="s">
        <v>18</v>
      </c>
      <c r="L8" s="353"/>
      <c r="M8" s="354">
        <f>In!M8:N8</f>
        <v>0</v>
      </c>
      <c r="N8" s="355"/>
      <c r="P8" s="374"/>
      <c r="Q8" s="375"/>
      <c r="R8" s="312"/>
      <c r="S8" s="312"/>
      <c r="T8" s="304"/>
      <c r="U8" s="25"/>
      <c r="V8" s="25"/>
      <c r="W8" s="25"/>
    </row>
    <row r="9" spans="1:25" s="26" customFormat="1" ht="18.45" customHeight="1" thickBot="1">
      <c r="A9" s="358" t="s">
        <v>21</v>
      </c>
      <c r="B9" s="359"/>
      <c r="C9" s="379">
        <f>In!C9</f>
        <v>0</v>
      </c>
      <c r="D9" s="380"/>
      <c r="E9" s="380"/>
      <c r="F9" s="380"/>
      <c r="G9" s="381"/>
      <c r="I9" s="351" t="str">
        <f>In!I9:J9</f>
        <v>Số lượng in thực tế</v>
      </c>
      <c r="J9" s="352"/>
      <c r="K9" s="353" t="s">
        <v>18</v>
      </c>
      <c r="L9" s="353"/>
      <c r="M9" s="363">
        <f>Tráng!M9</f>
        <v>0</v>
      </c>
      <c r="N9" s="364"/>
      <c r="P9" s="349" t="s">
        <v>313</v>
      </c>
      <c r="Q9" s="350"/>
      <c r="R9" s="31" t="s">
        <v>313</v>
      </c>
      <c r="S9" s="103"/>
      <c r="T9" s="32"/>
      <c r="U9" s="25"/>
      <c r="V9" s="25"/>
      <c r="W9" s="25"/>
    </row>
    <row r="10" spans="1:25" s="26" customFormat="1" ht="18.45" customHeight="1">
      <c r="A10" s="33"/>
      <c r="B10" s="33"/>
      <c r="C10" s="25"/>
      <c r="D10" s="34"/>
      <c r="E10" s="34"/>
      <c r="F10" s="34"/>
      <c r="G10" s="34"/>
      <c r="I10" s="351" t="s">
        <v>26</v>
      </c>
      <c r="J10" s="352"/>
      <c r="K10" s="353" t="s">
        <v>18</v>
      </c>
      <c r="L10" s="353"/>
      <c r="M10" s="354">
        <f>M8*2+0.06</f>
        <v>0.06</v>
      </c>
      <c r="N10" s="355"/>
      <c r="U10" s="25"/>
      <c r="V10" s="25"/>
      <c r="W10" s="25"/>
    </row>
    <row r="11" spans="1:25" s="26" customFormat="1" ht="18.45" customHeight="1">
      <c r="A11" s="33"/>
      <c r="B11" s="33"/>
      <c r="C11" s="25"/>
      <c r="D11" s="34"/>
      <c r="E11" s="34"/>
      <c r="F11" s="34"/>
      <c r="G11" s="34"/>
      <c r="I11" s="351" t="s">
        <v>27</v>
      </c>
      <c r="J11" s="352"/>
      <c r="K11" s="353" t="s">
        <v>18</v>
      </c>
      <c r="L11" s="353"/>
      <c r="M11" s="354">
        <f>M10-0.02</f>
        <v>3.9999999999999994E-2</v>
      </c>
      <c r="N11" s="355"/>
      <c r="U11" s="25"/>
      <c r="V11" s="25"/>
      <c r="W11" s="25"/>
    </row>
    <row r="12" spans="1:25" s="26" customFormat="1" ht="18.45" customHeight="1">
      <c r="A12" s="33"/>
      <c r="B12" s="33"/>
      <c r="C12" s="25"/>
      <c r="D12" s="34"/>
      <c r="E12" s="34"/>
      <c r="F12" s="34"/>
      <c r="G12" s="34"/>
      <c r="I12" s="351" t="s">
        <v>28</v>
      </c>
      <c r="J12" s="352"/>
      <c r="K12" s="353" t="s">
        <v>18</v>
      </c>
      <c r="L12" s="353"/>
      <c r="M12" s="354"/>
      <c r="N12" s="355"/>
      <c r="U12" s="25"/>
      <c r="V12" s="25"/>
      <c r="W12" s="25"/>
    </row>
    <row r="13" spans="1:25" s="26" customFormat="1" ht="18.45" customHeight="1">
      <c r="A13" s="33"/>
      <c r="B13" s="33"/>
      <c r="C13" s="25"/>
      <c r="D13" s="34"/>
      <c r="E13" s="34"/>
      <c r="F13" s="34"/>
      <c r="G13" s="34"/>
      <c r="I13" s="356" t="s">
        <v>29</v>
      </c>
      <c r="J13" s="357"/>
      <c r="K13" s="315" t="s">
        <v>30</v>
      </c>
      <c r="L13" s="315"/>
      <c r="M13" s="316">
        <f>In!M14:N14</f>
        <v>0</v>
      </c>
      <c r="N13" s="317"/>
      <c r="U13" s="25"/>
      <c r="V13" s="25"/>
      <c r="W13" s="25"/>
    </row>
    <row r="14" spans="1:25" ht="15.45" customHeight="1" thickBot="1">
      <c r="A14" s="36"/>
      <c r="B14" s="37"/>
      <c r="C14" s="37"/>
      <c r="D14" s="37"/>
      <c r="E14" s="37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36"/>
    </row>
    <row r="15" spans="1:25" ht="31.95" customHeight="1">
      <c r="A15" s="318" t="s">
        <v>31</v>
      </c>
      <c r="B15" s="320" t="s">
        <v>32</v>
      </c>
      <c r="C15" s="320" t="s">
        <v>33</v>
      </c>
      <c r="D15" s="320" t="s">
        <v>34</v>
      </c>
      <c r="E15" s="328" t="s">
        <v>315</v>
      </c>
      <c r="F15" s="320" t="s">
        <v>35</v>
      </c>
      <c r="G15" s="320" t="s">
        <v>36</v>
      </c>
      <c r="H15" s="340" t="s">
        <v>37</v>
      </c>
      <c r="I15" s="348"/>
      <c r="J15" s="348"/>
      <c r="K15" s="348"/>
      <c r="L15" s="313"/>
      <c r="M15" s="340" t="s">
        <v>38</v>
      </c>
      <c r="N15" s="348"/>
      <c r="O15" s="348"/>
      <c r="P15" s="313"/>
      <c r="Q15" s="340" t="s">
        <v>39</v>
      </c>
      <c r="R15" s="346" t="s">
        <v>40</v>
      </c>
      <c r="S15" s="313" t="s">
        <v>41</v>
      </c>
      <c r="T15" s="305" t="s">
        <v>42</v>
      </c>
    </row>
    <row r="16" spans="1:25" ht="31.95" customHeight="1" thickBot="1">
      <c r="A16" s="400"/>
      <c r="B16" s="401"/>
      <c r="C16" s="401"/>
      <c r="D16" s="401"/>
      <c r="E16" s="329"/>
      <c r="F16" s="401"/>
      <c r="G16" s="401"/>
      <c r="H16" s="38" t="s">
        <v>43</v>
      </c>
      <c r="I16" s="38" t="s">
        <v>44</v>
      </c>
      <c r="J16" s="38" t="s">
        <v>45</v>
      </c>
      <c r="K16" s="38" t="s">
        <v>46</v>
      </c>
      <c r="L16" s="38" t="s">
        <v>47</v>
      </c>
      <c r="M16" s="38" t="s">
        <v>43</v>
      </c>
      <c r="N16" s="38" t="s">
        <v>44</v>
      </c>
      <c r="O16" s="38" t="s">
        <v>45</v>
      </c>
      <c r="P16" s="38" t="s">
        <v>46</v>
      </c>
      <c r="Q16" s="341"/>
      <c r="R16" s="347"/>
      <c r="S16" s="314"/>
      <c r="T16" s="306"/>
    </row>
    <row r="17" spans="1:21" ht="31.95" customHeight="1">
      <c r="A17" s="444" t="s">
        <v>67</v>
      </c>
      <c r="B17" s="40">
        <v>1</v>
      </c>
      <c r="C17" s="217" t="s">
        <v>342</v>
      </c>
      <c r="D17" s="217" t="s">
        <v>343</v>
      </c>
      <c r="E17" s="243"/>
      <c r="F17" s="228" t="s">
        <v>49</v>
      </c>
      <c r="G17" s="244">
        <f>M9*0.5*3.114/1000</f>
        <v>0</v>
      </c>
      <c r="H17" s="42"/>
      <c r="I17" s="40"/>
      <c r="J17" s="40"/>
      <c r="K17" s="40"/>
      <c r="L17" s="41"/>
      <c r="M17" s="42"/>
      <c r="N17" s="40"/>
      <c r="O17" s="40"/>
      <c r="P17" s="41"/>
      <c r="Q17" s="44"/>
      <c r="R17" s="39"/>
      <c r="S17" s="387" t="s">
        <v>68</v>
      </c>
      <c r="T17" s="388" t="s">
        <v>68</v>
      </c>
      <c r="U17" s="34"/>
    </row>
    <row r="18" spans="1:21" ht="31.95" customHeight="1">
      <c r="A18" s="365"/>
      <c r="B18" s="29">
        <v>2</v>
      </c>
      <c r="C18" s="217" t="s">
        <v>69</v>
      </c>
      <c r="D18" s="217" t="s">
        <v>70</v>
      </c>
      <c r="E18" s="217"/>
      <c r="F18" s="235" t="s">
        <v>49</v>
      </c>
      <c r="G18" s="245">
        <f>M9*0.5*3.114/1000</f>
        <v>0</v>
      </c>
      <c r="H18" s="54"/>
      <c r="I18" s="29"/>
      <c r="J18" s="29"/>
      <c r="K18" s="29"/>
      <c r="L18" s="30"/>
      <c r="M18" s="54"/>
      <c r="N18" s="29"/>
      <c r="O18" s="29"/>
      <c r="P18" s="30"/>
      <c r="Q18" s="56"/>
      <c r="R18" s="58"/>
      <c r="S18" s="331"/>
      <c r="T18" s="308"/>
      <c r="U18" s="34"/>
    </row>
    <row r="19" spans="1:21" ht="31.95" customHeight="1">
      <c r="A19" s="349"/>
      <c r="B19" s="31">
        <v>3</v>
      </c>
      <c r="C19" s="231" t="s">
        <v>71</v>
      </c>
      <c r="D19" s="231" t="s">
        <v>72</v>
      </c>
      <c r="E19" s="231"/>
      <c r="F19" s="246" t="s">
        <v>49</v>
      </c>
      <c r="G19" s="247">
        <v>0</v>
      </c>
      <c r="H19" s="70"/>
      <c r="I19" s="31"/>
      <c r="J19" s="31"/>
      <c r="K19" s="31"/>
      <c r="L19" s="69"/>
      <c r="M19" s="70"/>
      <c r="N19" s="31"/>
      <c r="O19" s="31"/>
      <c r="P19" s="69"/>
      <c r="Q19" s="72"/>
      <c r="R19" s="68"/>
      <c r="S19" s="333"/>
      <c r="T19" s="310"/>
      <c r="U19" s="189"/>
    </row>
    <row r="20" spans="1:21" ht="31.95" customHeight="1">
      <c r="A20" s="322" t="s">
        <v>57</v>
      </c>
      <c r="B20" s="323"/>
      <c r="C20" s="323"/>
      <c r="D20" s="323"/>
      <c r="E20" s="323"/>
      <c r="F20" s="323"/>
      <c r="G20" s="323"/>
      <c r="H20" s="323"/>
      <c r="I20" s="323"/>
      <c r="J20" s="323"/>
      <c r="K20" s="323"/>
      <c r="L20" s="323"/>
      <c r="M20" s="323"/>
      <c r="N20" s="323"/>
      <c r="O20" s="323"/>
      <c r="P20" s="323"/>
      <c r="Q20" s="323"/>
      <c r="R20" s="323"/>
      <c r="S20" s="323"/>
      <c r="T20" s="324"/>
    </row>
    <row r="21" spans="1:21" ht="31.95" customHeight="1" thickBot="1">
      <c r="A21" s="325"/>
      <c r="B21" s="326"/>
      <c r="C21" s="326"/>
      <c r="D21" s="326"/>
      <c r="E21" s="326"/>
      <c r="F21" s="326"/>
      <c r="G21" s="326"/>
      <c r="H21" s="326"/>
      <c r="I21" s="326"/>
      <c r="J21" s="326"/>
      <c r="K21" s="326"/>
      <c r="L21" s="326"/>
      <c r="M21" s="326"/>
      <c r="N21" s="326"/>
      <c r="O21" s="326"/>
      <c r="P21" s="326"/>
      <c r="Q21" s="326"/>
      <c r="R21" s="326"/>
      <c r="S21" s="326"/>
      <c r="T21" s="327"/>
    </row>
    <row r="29" spans="1:21">
      <c r="H29" s="23" t="s">
        <v>58</v>
      </c>
    </row>
  </sheetData>
  <mergeCells count="69">
    <mergeCell ref="R1:T1"/>
    <mergeCell ref="R2:T2"/>
    <mergeCell ref="R3:T3"/>
    <mergeCell ref="A4:B4"/>
    <mergeCell ref="P4:T4"/>
    <mergeCell ref="A1:Q3"/>
    <mergeCell ref="V4:W4"/>
    <mergeCell ref="A5:B5"/>
    <mergeCell ref="C5:G5"/>
    <mergeCell ref="I5:J5"/>
    <mergeCell ref="K5:L5"/>
    <mergeCell ref="M5:N5"/>
    <mergeCell ref="P5:R5"/>
    <mergeCell ref="S5:T5"/>
    <mergeCell ref="P6:Q6"/>
    <mergeCell ref="A7:B7"/>
    <mergeCell ref="C7:G7"/>
    <mergeCell ref="I7:J7"/>
    <mergeCell ref="K7:L7"/>
    <mergeCell ref="M7:N7"/>
    <mergeCell ref="A6:B6"/>
    <mergeCell ref="C6:G6"/>
    <mergeCell ref="I6:J6"/>
    <mergeCell ref="K6:L6"/>
    <mergeCell ref="M6:N6"/>
    <mergeCell ref="P7:Q8"/>
    <mergeCell ref="A8:B8"/>
    <mergeCell ref="C8:G8"/>
    <mergeCell ref="I8:J8"/>
    <mergeCell ref="K8:L8"/>
    <mergeCell ref="A9:B9"/>
    <mergeCell ref="C9:G9"/>
    <mergeCell ref="I9:J9"/>
    <mergeCell ref="K9:L9"/>
    <mergeCell ref="M9:N9"/>
    <mergeCell ref="Q15:Q16"/>
    <mergeCell ref="R7:R8"/>
    <mergeCell ref="R15:R16"/>
    <mergeCell ref="H15:L15"/>
    <mergeCell ref="M15:P15"/>
    <mergeCell ref="P9:Q9"/>
    <mergeCell ref="I10:J10"/>
    <mergeCell ref="K10:L10"/>
    <mergeCell ref="M10:N10"/>
    <mergeCell ref="I11:J11"/>
    <mergeCell ref="K11:L11"/>
    <mergeCell ref="M11:N11"/>
    <mergeCell ref="M8:N8"/>
    <mergeCell ref="G15:G16"/>
    <mergeCell ref="I12:J12"/>
    <mergeCell ref="K12:L12"/>
    <mergeCell ref="M12:N12"/>
    <mergeCell ref="A20:T21"/>
    <mergeCell ref="E15:E16"/>
    <mergeCell ref="S17:S19"/>
    <mergeCell ref="A17:A19"/>
    <mergeCell ref="I13:J13"/>
    <mergeCell ref="K13:L13"/>
    <mergeCell ref="M13:N13"/>
    <mergeCell ref="A15:A16"/>
    <mergeCell ref="B15:B16"/>
    <mergeCell ref="C15:C16"/>
    <mergeCell ref="D15:D16"/>
    <mergeCell ref="F15:F16"/>
    <mergeCell ref="T7:T8"/>
    <mergeCell ref="T15:T16"/>
    <mergeCell ref="T17:T19"/>
    <mergeCell ref="S7:S8"/>
    <mergeCell ref="S15:S16"/>
  </mergeCells>
  <printOptions horizontalCentered="1"/>
  <pageMargins left="0" right="0" top="0.75" bottom="0.75" header="0.3" footer="0.3"/>
  <pageSetup paperSize="9" scale="59" orientation="landscape" horizontalDpi="300" verticalDpi="30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pageSetUpPr fitToPage="1"/>
  </sheetPr>
  <dimension ref="A1:AA30"/>
  <sheetViews>
    <sheetView view="pageBreakPreview" zoomScale="70" zoomScaleNormal="100" zoomScalePageLayoutView="80" workbookViewId="0">
      <selection activeCell="C8" sqref="C8:G8"/>
    </sheetView>
  </sheetViews>
  <sheetFormatPr defaultColWidth="8.88671875" defaultRowHeight="13.8"/>
  <cols>
    <col min="1" max="1" width="9.44140625" style="23" customWidth="1"/>
    <col min="2" max="2" width="6.109375" style="23" customWidth="1"/>
    <col min="3" max="3" width="23.44140625" style="23" customWidth="1"/>
    <col min="4" max="5" width="21.109375" style="23" customWidth="1"/>
    <col min="6" max="6" width="7.44140625" style="34" customWidth="1"/>
    <col min="7" max="7" width="10" style="23" customWidth="1"/>
    <col min="8" max="16" width="9.44140625" style="23" customWidth="1"/>
    <col min="17" max="17" width="10.109375" style="23" customWidth="1"/>
    <col min="18" max="18" width="18.21875" style="23" customWidth="1"/>
    <col min="19" max="20" width="17.21875" style="23" customWidth="1"/>
    <col min="21" max="21" width="11.44140625" style="23" customWidth="1"/>
    <col min="22" max="23" width="10.44140625" style="23" customWidth="1"/>
    <col min="24" max="16384" width="8.88671875" style="23"/>
  </cols>
  <sheetData>
    <row r="1" spans="1:23" ht="17.25" customHeight="1">
      <c r="A1" s="318" t="s">
        <v>0</v>
      </c>
      <c r="B1" s="320"/>
      <c r="C1" s="320"/>
      <c r="D1" s="320"/>
      <c r="E1" s="320"/>
      <c r="F1" s="320"/>
      <c r="G1" s="320"/>
      <c r="H1" s="320"/>
      <c r="I1" s="320"/>
      <c r="J1" s="320"/>
      <c r="K1" s="320"/>
      <c r="L1" s="320"/>
      <c r="M1" s="320"/>
      <c r="N1" s="320"/>
      <c r="O1" s="320"/>
      <c r="P1" s="320"/>
      <c r="Q1" s="396"/>
      <c r="R1" s="386" t="s">
        <v>1</v>
      </c>
      <c r="S1" s="387"/>
      <c r="T1" s="388"/>
    </row>
    <row r="2" spans="1:23" ht="17.25" customHeight="1">
      <c r="A2" s="397"/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9"/>
      <c r="R2" s="389" t="s">
        <v>2</v>
      </c>
      <c r="S2" s="390"/>
      <c r="T2" s="391"/>
    </row>
    <row r="3" spans="1:23" ht="17.25" customHeight="1">
      <c r="A3" s="400"/>
      <c r="B3" s="401"/>
      <c r="C3" s="401"/>
      <c r="D3" s="401"/>
      <c r="E3" s="401"/>
      <c r="F3" s="401"/>
      <c r="G3" s="401"/>
      <c r="H3" s="401"/>
      <c r="I3" s="401"/>
      <c r="J3" s="401"/>
      <c r="K3" s="401"/>
      <c r="L3" s="401"/>
      <c r="M3" s="401"/>
      <c r="N3" s="401"/>
      <c r="O3" s="401"/>
      <c r="P3" s="401"/>
      <c r="Q3" s="402"/>
      <c r="R3" s="392" t="s">
        <v>3</v>
      </c>
      <c r="S3" s="393"/>
      <c r="T3" s="394"/>
    </row>
    <row r="4" spans="1:23" ht="15.75" customHeight="1">
      <c r="A4" s="376"/>
      <c r="B4" s="376"/>
      <c r="C4" s="24"/>
      <c r="D4" s="24"/>
      <c r="E4" s="24"/>
      <c r="F4" s="24"/>
      <c r="H4" s="25"/>
      <c r="I4" s="25"/>
      <c r="J4" s="25"/>
      <c r="K4" s="25"/>
      <c r="L4" s="25"/>
      <c r="M4" s="25"/>
      <c r="N4" s="25"/>
      <c r="O4" s="25"/>
      <c r="P4" s="395"/>
      <c r="Q4" s="395"/>
      <c r="R4" s="395"/>
      <c r="S4" s="395"/>
      <c r="T4" s="395"/>
      <c r="U4" s="25"/>
      <c r="V4" s="376"/>
      <c r="W4" s="376"/>
    </row>
    <row r="5" spans="1:23" s="26" customFormat="1" ht="16.95" customHeight="1">
      <c r="A5" s="461" t="s">
        <v>4</v>
      </c>
      <c r="B5" s="462"/>
      <c r="C5" s="379">
        <f>In!C5:G5</f>
        <v>0</v>
      </c>
      <c r="D5" s="380"/>
      <c r="E5" s="380"/>
      <c r="F5" s="380"/>
      <c r="G5" s="381"/>
      <c r="I5" s="444" t="s">
        <v>5</v>
      </c>
      <c r="J5" s="445"/>
      <c r="K5" s="445" t="s">
        <v>6</v>
      </c>
      <c r="L5" s="445"/>
      <c r="M5" s="445" t="s">
        <v>7</v>
      </c>
      <c r="N5" s="446"/>
      <c r="P5" s="384" t="s">
        <v>8</v>
      </c>
      <c r="Q5" s="385"/>
      <c r="R5" s="385"/>
      <c r="S5" s="385" t="s">
        <v>9</v>
      </c>
      <c r="T5" s="305"/>
      <c r="U5" s="27"/>
      <c r="V5" s="27"/>
      <c r="W5" s="27"/>
    </row>
    <row r="6" spans="1:23" s="26" customFormat="1" ht="16.95" customHeight="1">
      <c r="A6" s="459" t="s">
        <v>10</v>
      </c>
      <c r="B6" s="460"/>
      <c r="C6" s="369">
        <f>In!C6:G6</f>
        <v>0</v>
      </c>
      <c r="D6" s="370"/>
      <c r="E6" s="370"/>
      <c r="F6" s="370"/>
      <c r="G6" s="371"/>
      <c r="I6" s="351" t="s">
        <v>11</v>
      </c>
      <c r="J6" s="352"/>
      <c r="K6" s="353" t="s">
        <v>12</v>
      </c>
      <c r="L6" s="353"/>
      <c r="M6" s="363">
        <f>In!M6</f>
        <v>0</v>
      </c>
      <c r="N6" s="364"/>
      <c r="P6" s="365" t="s">
        <v>13</v>
      </c>
      <c r="Q6" s="366"/>
      <c r="R6" s="29" t="s">
        <v>14</v>
      </c>
      <c r="S6" s="29" t="s">
        <v>15</v>
      </c>
      <c r="T6" s="30" t="s">
        <v>14</v>
      </c>
      <c r="U6" s="27"/>
      <c r="V6" s="27"/>
      <c r="W6" s="27"/>
    </row>
    <row r="7" spans="1:23" s="26" customFormat="1" ht="16.95" customHeight="1">
      <c r="A7" s="459" t="s">
        <v>16</v>
      </c>
      <c r="B7" s="460"/>
      <c r="C7" s="369">
        <f>In!C7:G7</f>
        <v>0</v>
      </c>
      <c r="D7" s="370"/>
      <c r="E7" s="370"/>
      <c r="F7" s="370"/>
      <c r="G7" s="371"/>
      <c r="I7" s="351" t="s">
        <v>63</v>
      </c>
      <c r="J7" s="352"/>
      <c r="K7" s="353" t="s">
        <v>18</v>
      </c>
      <c r="L7" s="353"/>
      <c r="M7" s="354">
        <f>Tráng!M7:N7</f>
        <v>0</v>
      </c>
      <c r="N7" s="355"/>
      <c r="P7" s="372"/>
      <c r="Q7" s="373"/>
      <c r="R7" s="311"/>
      <c r="S7" s="311"/>
      <c r="T7" s="303"/>
      <c r="U7" s="25"/>
      <c r="V7" s="25"/>
      <c r="W7" s="25"/>
    </row>
    <row r="8" spans="1:23" s="26" customFormat="1" ht="16.95" customHeight="1">
      <c r="A8" s="459" t="s">
        <v>19</v>
      </c>
      <c r="B8" s="460"/>
      <c r="C8" s="369">
        <f>In!C8:G8</f>
        <v>0</v>
      </c>
      <c r="D8" s="370"/>
      <c r="E8" s="370"/>
      <c r="F8" s="370"/>
      <c r="G8" s="371"/>
      <c r="I8" s="351" t="s">
        <v>20</v>
      </c>
      <c r="J8" s="352"/>
      <c r="K8" s="353" t="s">
        <v>18</v>
      </c>
      <c r="L8" s="353"/>
      <c r="M8" s="354">
        <f>Tráng!M8:N8</f>
        <v>0</v>
      </c>
      <c r="N8" s="355"/>
      <c r="P8" s="374"/>
      <c r="Q8" s="375"/>
      <c r="R8" s="312"/>
      <c r="S8" s="312"/>
      <c r="T8" s="304"/>
      <c r="U8" s="25"/>
      <c r="V8" s="25"/>
      <c r="W8" s="25"/>
    </row>
    <row r="9" spans="1:23" s="26" customFormat="1" ht="16.95" customHeight="1">
      <c r="A9" s="457" t="s">
        <v>21</v>
      </c>
      <c r="B9" s="458"/>
      <c r="C9" s="360">
        <f>In!C9</f>
        <v>0</v>
      </c>
      <c r="D9" s="361"/>
      <c r="E9" s="361"/>
      <c r="F9" s="361"/>
      <c r="G9" s="362"/>
      <c r="I9" s="351" t="str">
        <f>In!I9:J9</f>
        <v>Số lượng in thực tế</v>
      </c>
      <c r="J9" s="352"/>
      <c r="K9" s="353" t="s">
        <v>18</v>
      </c>
      <c r="L9" s="353"/>
      <c r="M9" s="363">
        <f>Tráng!M9:N9</f>
        <v>0</v>
      </c>
      <c r="N9" s="364"/>
      <c r="P9" s="349" t="s">
        <v>313</v>
      </c>
      <c r="Q9" s="350"/>
      <c r="R9" s="31" t="s">
        <v>313</v>
      </c>
      <c r="S9" s="103"/>
      <c r="T9" s="32"/>
      <c r="U9" s="25"/>
      <c r="V9" s="25"/>
      <c r="W9" s="25"/>
    </row>
    <row r="10" spans="1:23" s="26" customFormat="1" ht="16.95" customHeight="1">
      <c r="A10" s="33"/>
      <c r="B10" s="33"/>
      <c r="C10" s="25"/>
      <c r="D10" s="34"/>
      <c r="E10" s="34"/>
      <c r="F10" s="34"/>
      <c r="G10" s="34"/>
      <c r="I10" s="351" t="s">
        <v>26</v>
      </c>
      <c r="J10" s="352"/>
      <c r="K10" s="353" t="s">
        <v>18</v>
      </c>
      <c r="L10" s="353"/>
      <c r="M10" s="354">
        <f>Tráng!M10:N10</f>
        <v>0</v>
      </c>
      <c r="N10" s="355"/>
      <c r="U10" s="25"/>
      <c r="V10" s="25"/>
      <c r="W10" s="25"/>
    </row>
    <row r="11" spans="1:23" s="26" customFormat="1" ht="16.95" customHeight="1">
      <c r="A11" s="33"/>
      <c r="B11" s="33"/>
      <c r="C11" s="25"/>
      <c r="D11" s="34"/>
      <c r="E11" s="34"/>
      <c r="F11" s="34"/>
      <c r="G11" s="34"/>
      <c r="I11" s="351" t="s">
        <v>27</v>
      </c>
      <c r="J11" s="352"/>
      <c r="K11" s="353" t="s">
        <v>18</v>
      </c>
      <c r="L11" s="353"/>
      <c r="M11" s="354">
        <f>Tráng!M11:N11</f>
        <v>0</v>
      </c>
      <c r="N11" s="355"/>
      <c r="U11" s="25"/>
      <c r="V11" s="25"/>
      <c r="W11" s="25"/>
    </row>
    <row r="12" spans="1:23" s="26" customFormat="1" ht="16.95" customHeight="1">
      <c r="A12" s="33"/>
      <c r="B12" s="33"/>
      <c r="C12" s="25"/>
      <c r="D12" s="34"/>
      <c r="E12" s="34"/>
      <c r="F12" s="34"/>
      <c r="G12" s="34"/>
      <c r="I12" s="351" t="s">
        <v>28</v>
      </c>
      <c r="J12" s="352"/>
      <c r="K12" s="353" t="s">
        <v>18</v>
      </c>
      <c r="L12" s="353"/>
      <c r="M12" s="354"/>
      <c r="N12" s="355"/>
      <c r="U12" s="25"/>
      <c r="V12" s="25"/>
      <c r="W12" s="25"/>
    </row>
    <row r="13" spans="1:23" s="26" customFormat="1" ht="16.95" customHeight="1">
      <c r="A13" s="33"/>
      <c r="B13" s="33"/>
      <c r="C13" s="25"/>
      <c r="D13" s="34"/>
      <c r="E13" s="34"/>
      <c r="F13" s="34"/>
      <c r="G13" s="34"/>
      <c r="I13" s="356" t="s">
        <v>29</v>
      </c>
      <c r="J13" s="357"/>
      <c r="K13" s="315" t="s">
        <v>30</v>
      </c>
      <c r="L13" s="315"/>
      <c r="M13" s="316">
        <f>In!M14:N14</f>
        <v>0</v>
      </c>
      <c r="N13" s="317"/>
      <c r="U13" s="25"/>
      <c r="V13" s="25"/>
      <c r="W13" s="25"/>
    </row>
    <row r="14" spans="1:23" ht="15.45" customHeight="1" thickBot="1">
      <c r="A14" s="36"/>
      <c r="B14" s="37"/>
      <c r="C14" s="37"/>
      <c r="D14" s="37"/>
      <c r="E14" s="37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36"/>
    </row>
    <row r="15" spans="1:23" ht="22.5" customHeight="1">
      <c r="A15" s="318" t="s">
        <v>31</v>
      </c>
      <c r="B15" s="320" t="s">
        <v>32</v>
      </c>
      <c r="C15" s="320" t="s">
        <v>33</v>
      </c>
      <c r="D15" s="320" t="s">
        <v>34</v>
      </c>
      <c r="E15" s="328" t="s">
        <v>315</v>
      </c>
      <c r="F15" s="320" t="s">
        <v>35</v>
      </c>
      <c r="G15" s="320" t="s">
        <v>36</v>
      </c>
      <c r="H15" s="340" t="s">
        <v>37</v>
      </c>
      <c r="I15" s="348"/>
      <c r="J15" s="348"/>
      <c r="K15" s="348"/>
      <c r="L15" s="313"/>
      <c r="M15" s="340" t="s">
        <v>38</v>
      </c>
      <c r="N15" s="348"/>
      <c r="O15" s="348"/>
      <c r="P15" s="313"/>
      <c r="Q15" s="340" t="s">
        <v>39</v>
      </c>
      <c r="R15" s="346" t="s">
        <v>40</v>
      </c>
      <c r="S15" s="313" t="s">
        <v>41</v>
      </c>
      <c r="T15" s="305" t="s">
        <v>42</v>
      </c>
    </row>
    <row r="16" spans="1:23" ht="22.5" customHeight="1" thickBot="1">
      <c r="A16" s="400"/>
      <c r="B16" s="401"/>
      <c r="C16" s="401"/>
      <c r="D16" s="401"/>
      <c r="E16" s="329"/>
      <c r="F16" s="401"/>
      <c r="G16" s="401"/>
      <c r="H16" s="38" t="s">
        <v>43</v>
      </c>
      <c r="I16" s="38" t="s">
        <v>44</v>
      </c>
      <c r="J16" s="38" t="s">
        <v>45</v>
      </c>
      <c r="K16" s="38" t="s">
        <v>46</v>
      </c>
      <c r="L16" s="38" t="s">
        <v>47</v>
      </c>
      <c r="M16" s="38" t="s">
        <v>43</v>
      </c>
      <c r="N16" s="38" t="s">
        <v>44</v>
      </c>
      <c r="O16" s="38" t="s">
        <v>45</v>
      </c>
      <c r="P16" s="38" t="s">
        <v>46</v>
      </c>
      <c r="Q16" s="341"/>
      <c r="R16" s="347"/>
      <c r="S16" s="314"/>
      <c r="T16" s="306"/>
    </row>
    <row r="17" spans="1:27" ht="31.8" customHeight="1">
      <c r="A17" s="453" t="s">
        <v>73</v>
      </c>
      <c r="B17" s="248">
        <v>1</v>
      </c>
      <c r="C17" s="232" t="s">
        <v>316</v>
      </c>
      <c r="D17" s="232" t="s">
        <v>346</v>
      </c>
      <c r="E17" s="232"/>
      <c r="F17" s="249" t="s">
        <v>49</v>
      </c>
      <c r="G17" s="250">
        <f>M6*M13*0.893*1.05</f>
        <v>0</v>
      </c>
      <c r="H17" s="50"/>
      <c r="I17" s="48"/>
      <c r="J17" s="48"/>
      <c r="K17" s="48"/>
      <c r="L17" s="49"/>
      <c r="M17" s="50"/>
      <c r="N17" s="48"/>
      <c r="O17" s="48"/>
      <c r="P17" s="49"/>
      <c r="Q17" s="51"/>
      <c r="R17" s="51"/>
      <c r="S17" s="451" t="s">
        <v>50</v>
      </c>
      <c r="T17" s="449" t="s">
        <v>50</v>
      </c>
      <c r="X17" s="33"/>
      <c r="Y17" s="36"/>
      <c r="Z17" s="33"/>
      <c r="AA17" s="59"/>
    </row>
    <row r="18" spans="1:27" ht="31.8" customHeight="1">
      <c r="A18" s="453"/>
      <c r="B18" s="229">
        <v>2</v>
      </c>
      <c r="C18" s="213" t="s">
        <v>74</v>
      </c>
      <c r="D18" s="217" t="s">
        <v>75</v>
      </c>
      <c r="E18" s="217"/>
      <c r="F18" s="215" t="s">
        <v>49</v>
      </c>
      <c r="G18" s="251">
        <f>M6*M13*0.107*1.05</f>
        <v>0</v>
      </c>
      <c r="H18" s="54"/>
      <c r="I18" s="29"/>
      <c r="J18" s="29"/>
      <c r="K18" s="29"/>
      <c r="L18" s="30"/>
      <c r="M18" s="54"/>
      <c r="N18" s="29"/>
      <c r="O18" s="29"/>
      <c r="P18" s="30"/>
      <c r="Q18" s="56"/>
      <c r="R18" s="56"/>
      <c r="S18" s="452"/>
      <c r="T18" s="450"/>
      <c r="X18" s="33"/>
      <c r="Y18" s="36"/>
      <c r="Z18" s="33"/>
      <c r="AA18" s="59"/>
    </row>
    <row r="19" spans="1:27" ht="31.8" customHeight="1">
      <c r="A19" s="453"/>
      <c r="B19" s="229">
        <v>3</v>
      </c>
      <c r="C19" s="454"/>
      <c r="D19" s="344"/>
      <c r="E19" s="252"/>
      <c r="F19" s="215" t="s">
        <v>49</v>
      </c>
      <c r="G19" s="253">
        <f>G17+G18</f>
        <v>0</v>
      </c>
      <c r="H19" s="54"/>
      <c r="I19" s="29"/>
      <c r="J19" s="29"/>
      <c r="K19" s="29"/>
      <c r="L19" s="30"/>
      <c r="M19" s="54"/>
      <c r="N19" s="29"/>
      <c r="O19" s="29"/>
      <c r="P19" s="30"/>
      <c r="Q19" s="56"/>
      <c r="R19" s="56"/>
      <c r="S19" s="452"/>
      <c r="T19" s="450"/>
      <c r="X19" s="33"/>
      <c r="Y19" s="36"/>
      <c r="Z19" s="33"/>
      <c r="AA19" s="59"/>
    </row>
    <row r="20" spans="1:27" ht="31.8" customHeight="1">
      <c r="A20" s="453"/>
      <c r="B20" s="254">
        <v>4</v>
      </c>
      <c r="C20" s="455"/>
      <c r="D20" s="456"/>
      <c r="E20" s="256"/>
      <c r="F20" s="257" t="s">
        <v>56</v>
      </c>
      <c r="G20" s="258" t="e">
        <f>G19/M13</f>
        <v>#DIV/0!</v>
      </c>
      <c r="H20" s="65"/>
      <c r="I20" s="63"/>
      <c r="J20" s="63"/>
      <c r="K20" s="63"/>
      <c r="L20" s="64"/>
      <c r="M20" s="65"/>
      <c r="N20" s="63"/>
      <c r="O20" s="63"/>
      <c r="P20" s="64"/>
      <c r="Q20" s="66"/>
      <c r="R20" s="66"/>
      <c r="S20" s="452"/>
      <c r="T20" s="450"/>
      <c r="X20" s="33"/>
      <c r="Y20" s="36"/>
      <c r="Z20" s="33"/>
      <c r="AA20" s="59"/>
    </row>
    <row r="21" spans="1:27" ht="31.5" customHeight="1">
      <c r="A21" s="322" t="s">
        <v>57</v>
      </c>
      <c r="B21" s="323"/>
      <c r="C21" s="323"/>
      <c r="D21" s="323"/>
      <c r="E21" s="323"/>
      <c r="F21" s="323"/>
      <c r="G21" s="323"/>
      <c r="H21" s="323"/>
      <c r="I21" s="323"/>
      <c r="J21" s="323"/>
      <c r="K21" s="323"/>
      <c r="L21" s="323"/>
      <c r="M21" s="323"/>
      <c r="N21" s="323"/>
      <c r="O21" s="323"/>
      <c r="P21" s="323"/>
      <c r="Q21" s="323"/>
      <c r="R21" s="323"/>
      <c r="S21" s="323"/>
      <c r="T21" s="324"/>
    </row>
    <row r="22" spans="1:27" ht="31.5" customHeight="1" thickBot="1">
      <c r="A22" s="325"/>
      <c r="B22" s="326"/>
      <c r="C22" s="326"/>
      <c r="D22" s="326"/>
      <c r="E22" s="326"/>
      <c r="F22" s="326"/>
      <c r="G22" s="326"/>
      <c r="H22" s="326"/>
      <c r="I22" s="326"/>
      <c r="J22" s="326"/>
      <c r="K22" s="326"/>
      <c r="L22" s="326"/>
      <c r="M22" s="326"/>
      <c r="N22" s="326"/>
      <c r="O22" s="326"/>
      <c r="P22" s="326"/>
      <c r="Q22" s="326"/>
      <c r="R22" s="326"/>
      <c r="S22" s="326"/>
      <c r="T22" s="327"/>
    </row>
    <row r="30" spans="1:27">
      <c r="H30" s="23" t="s">
        <v>58</v>
      </c>
    </row>
  </sheetData>
  <mergeCells count="71">
    <mergeCell ref="R1:T1"/>
    <mergeCell ref="R2:T2"/>
    <mergeCell ref="R3:T3"/>
    <mergeCell ref="A4:B4"/>
    <mergeCell ref="P4:T4"/>
    <mergeCell ref="A1:Q3"/>
    <mergeCell ref="V4:W4"/>
    <mergeCell ref="A5:B5"/>
    <mergeCell ref="C5:G5"/>
    <mergeCell ref="I5:J5"/>
    <mergeCell ref="K5:L5"/>
    <mergeCell ref="M5:N5"/>
    <mergeCell ref="P5:R5"/>
    <mergeCell ref="S5:T5"/>
    <mergeCell ref="M13:N13"/>
    <mergeCell ref="P6:Q6"/>
    <mergeCell ref="A7:B7"/>
    <mergeCell ref="C7:G7"/>
    <mergeCell ref="I7:J7"/>
    <mergeCell ref="K7:L7"/>
    <mergeCell ref="M7:N7"/>
    <mergeCell ref="A6:B6"/>
    <mergeCell ref="C6:G6"/>
    <mergeCell ref="I6:J6"/>
    <mergeCell ref="K6:L6"/>
    <mergeCell ref="M6:N6"/>
    <mergeCell ref="P7:Q8"/>
    <mergeCell ref="A8:B8"/>
    <mergeCell ref="C8:G8"/>
    <mergeCell ref="I8:J8"/>
    <mergeCell ref="M8:N8"/>
    <mergeCell ref="A9:B9"/>
    <mergeCell ref="C9:G9"/>
    <mergeCell ref="I9:J9"/>
    <mergeCell ref="K9:L9"/>
    <mergeCell ref="M9:N9"/>
    <mergeCell ref="K8:L8"/>
    <mergeCell ref="R7:R8"/>
    <mergeCell ref="R15:R16"/>
    <mergeCell ref="H15:L15"/>
    <mergeCell ref="M15:P15"/>
    <mergeCell ref="P9:Q9"/>
    <mergeCell ref="I10:J10"/>
    <mergeCell ref="K10:L10"/>
    <mergeCell ref="M10:N10"/>
    <mergeCell ref="I11:J11"/>
    <mergeCell ref="K11:L11"/>
    <mergeCell ref="M11:N11"/>
    <mergeCell ref="K12:L12"/>
    <mergeCell ref="M12:N12"/>
    <mergeCell ref="I13:J13"/>
    <mergeCell ref="K13:L13"/>
    <mergeCell ref="I12:J12"/>
    <mergeCell ref="A21:T22"/>
    <mergeCell ref="E15:E16"/>
    <mergeCell ref="S17:S20"/>
    <mergeCell ref="A17:A20"/>
    <mergeCell ref="C19:C20"/>
    <mergeCell ref="D19:D20"/>
    <mergeCell ref="A15:A16"/>
    <mergeCell ref="B15:B16"/>
    <mergeCell ref="C15:C16"/>
    <mergeCell ref="D15:D16"/>
    <mergeCell ref="F15:F16"/>
    <mergeCell ref="Q15:Q16"/>
    <mergeCell ref="G15:G16"/>
    <mergeCell ref="T7:T8"/>
    <mergeCell ref="T15:T16"/>
    <mergeCell ref="T17:T20"/>
    <mergeCell ref="S7:S8"/>
    <mergeCell ref="S15:S16"/>
  </mergeCells>
  <printOptions horizontalCentered="1"/>
  <pageMargins left="0" right="0" top="0.75" bottom="0.75" header="0.3" footer="0.3"/>
  <pageSetup paperSize="9" scale="59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pageSetUpPr fitToPage="1"/>
  </sheetPr>
  <dimension ref="A1:Y33"/>
  <sheetViews>
    <sheetView view="pageBreakPreview" zoomScale="72" zoomScaleNormal="100" zoomScaleSheetLayoutView="100" zoomScalePageLayoutView="80" workbookViewId="0">
      <selection activeCell="G19" sqref="G19"/>
    </sheetView>
  </sheetViews>
  <sheetFormatPr defaultColWidth="8.88671875" defaultRowHeight="13.8"/>
  <cols>
    <col min="1" max="1" width="9.44140625" style="23" customWidth="1"/>
    <col min="2" max="2" width="6.109375" style="23" customWidth="1"/>
    <col min="3" max="3" width="23.44140625" style="23" customWidth="1"/>
    <col min="4" max="5" width="21.109375" style="23" customWidth="1"/>
    <col min="6" max="6" width="7.44140625" style="34" customWidth="1"/>
    <col min="7" max="7" width="10" style="23" customWidth="1"/>
    <col min="8" max="16" width="9.44140625" style="23" customWidth="1"/>
    <col min="17" max="17" width="10.109375" style="23" customWidth="1"/>
    <col min="18" max="18" width="18.21875" style="23" customWidth="1"/>
    <col min="19" max="20" width="17.21875" style="23" customWidth="1"/>
    <col min="21" max="21" width="11.44140625" style="23" customWidth="1"/>
    <col min="22" max="23" width="10.44140625" style="23" customWidth="1"/>
    <col min="24" max="16384" width="8.88671875" style="23"/>
  </cols>
  <sheetData>
    <row r="1" spans="1:25" ht="17.25" customHeight="1">
      <c r="A1" s="318" t="s">
        <v>0</v>
      </c>
      <c r="B1" s="320"/>
      <c r="C1" s="320"/>
      <c r="D1" s="320"/>
      <c r="E1" s="320"/>
      <c r="F1" s="320"/>
      <c r="G1" s="320"/>
      <c r="H1" s="320"/>
      <c r="I1" s="320"/>
      <c r="J1" s="320"/>
      <c r="K1" s="320"/>
      <c r="L1" s="320"/>
      <c r="M1" s="320"/>
      <c r="N1" s="320"/>
      <c r="O1" s="320"/>
      <c r="P1" s="320"/>
      <c r="Q1" s="396"/>
      <c r="R1" s="386" t="s">
        <v>1</v>
      </c>
      <c r="S1" s="387"/>
      <c r="T1" s="388"/>
    </row>
    <row r="2" spans="1:25" ht="17.25" customHeight="1">
      <c r="A2" s="397"/>
      <c r="B2" s="398"/>
      <c r="C2" s="398"/>
      <c r="D2" s="398"/>
      <c r="E2" s="398"/>
      <c r="F2" s="398"/>
      <c r="G2" s="398"/>
      <c r="H2" s="398"/>
      <c r="I2" s="398"/>
      <c r="J2" s="398"/>
      <c r="K2" s="398"/>
      <c r="L2" s="398"/>
      <c r="M2" s="398"/>
      <c r="N2" s="398"/>
      <c r="O2" s="398"/>
      <c r="P2" s="398"/>
      <c r="Q2" s="399"/>
      <c r="R2" s="389" t="s">
        <v>2</v>
      </c>
      <c r="S2" s="390"/>
      <c r="T2" s="391"/>
    </row>
    <row r="3" spans="1:25" ht="17.25" customHeight="1">
      <c r="A3" s="400"/>
      <c r="B3" s="401"/>
      <c r="C3" s="401"/>
      <c r="D3" s="401"/>
      <c r="E3" s="401"/>
      <c r="F3" s="401"/>
      <c r="G3" s="401"/>
      <c r="H3" s="401"/>
      <c r="I3" s="401"/>
      <c r="J3" s="401"/>
      <c r="K3" s="401"/>
      <c r="L3" s="401"/>
      <c r="M3" s="401"/>
      <c r="N3" s="401"/>
      <c r="O3" s="401"/>
      <c r="P3" s="401"/>
      <c r="Q3" s="402"/>
      <c r="R3" s="392" t="s">
        <v>3</v>
      </c>
      <c r="S3" s="393"/>
      <c r="T3" s="394"/>
    </row>
    <row r="4" spans="1:25" ht="15.75" customHeight="1">
      <c r="A4" s="376"/>
      <c r="B4" s="376"/>
      <c r="C4" s="24"/>
      <c r="D4" s="24"/>
      <c r="E4" s="24"/>
      <c r="F4" s="24"/>
      <c r="H4" s="25"/>
      <c r="I4" s="25"/>
      <c r="J4" s="25"/>
      <c r="K4" s="25"/>
      <c r="L4" s="25"/>
      <c r="M4" s="25"/>
      <c r="N4" s="25"/>
      <c r="O4" s="25"/>
      <c r="P4" s="395"/>
      <c r="Q4" s="395"/>
      <c r="R4" s="395"/>
      <c r="S4" s="395"/>
      <c r="T4" s="395"/>
      <c r="U4" s="25"/>
      <c r="V4" s="376"/>
      <c r="W4" s="376"/>
    </row>
    <row r="5" spans="1:25" s="26" customFormat="1" ht="16.95" customHeight="1">
      <c r="A5" s="377" t="s">
        <v>4</v>
      </c>
      <c r="B5" s="378"/>
      <c r="C5" s="379">
        <f>In!C5:G5</f>
        <v>0</v>
      </c>
      <c r="D5" s="380"/>
      <c r="E5" s="380"/>
      <c r="F5" s="380"/>
      <c r="G5" s="381"/>
      <c r="I5" s="334" t="s">
        <v>5</v>
      </c>
      <c r="J5" s="382"/>
      <c r="K5" s="382" t="s">
        <v>6</v>
      </c>
      <c r="L5" s="382"/>
      <c r="M5" s="382" t="s">
        <v>7</v>
      </c>
      <c r="N5" s="383"/>
      <c r="P5" s="384" t="s">
        <v>8</v>
      </c>
      <c r="Q5" s="385"/>
      <c r="R5" s="385"/>
      <c r="S5" s="385" t="s">
        <v>9</v>
      </c>
      <c r="T5" s="305"/>
      <c r="U5" s="27"/>
      <c r="V5" s="27" t="s">
        <v>59</v>
      </c>
      <c r="W5" s="27" t="s">
        <v>60</v>
      </c>
      <c r="X5" s="26" t="s">
        <v>61</v>
      </c>
      <c r="Y5" s="26" t="s">
        <v>62</v>
      </c>
    </row>
    <row r="6" spans="1:25" s="26" customFormat="1" ht="16.95" customHeight="1">
      <c r="A6" s="367" t="s">
        <v>10</v>
      </c>
      <c r="B6" s="368"/>
      <c r="C6" s="369">
        <f>In!C6:G6</f>
        <v>0</v>
      </c>
      <c r="D6" s="370"/>
      <c r="E6" s="370"/>
      <c r="F6" s="370"/>
      <c r="G6" s="371"/>
      <c r="I6" s="351" t="s">
        <v>11</v>
      </c>
      <c r="J6" s="352"/>
      <c r="K6" s="353" t="s">
        <v>12</v>
      </c>
      <c r="L6" s="353"/>
      <c r="M6" s="363">
        <f>In!M6</f>
        <v>0</v>
      </c>
      <c r="N6" s="364"/>
      <c r="P6" s="365" t="s">
        <v>13</v>
      </c>
      <c r="Q6" s="366"/>
      <c r="R6" s="29" t="s">
        <v>14</v>
      </c>
      <c r="S6" s="29" t="s">
        <v>15</v>
      </c>
      <c r="T6" s="30" t="s">
        <v>14</v>
      </c>
      <c r="U6" s="27"/>
      <c r="V6" s="27"/>
      <c r="W6" s="27"/>
    </row>
    <row r="7" spans="1:25" s="26" customFormat="1" ht="16.95" customHeight="1">
      <c r="A7" s="367" t="s">
        <v>16</v>
      </c>
      <c r="B7" s="368"/>
      <c r="C7" s="369">
        <f>In!C7:G7</f>
        <v>0</v>
      </c>
      <c r="D7" s="370"/>
      <c r="E7" s="370"/>
      <c r="F7" s="370"/>
      <c r="G7" s="371"/>
      <c r="I7" s="351" t="s">
        <v>63</v>
      </c>
      <c r="J7" s="352"/>
      <c r="K7" s="353" t="s">
        <v>18</v>
      </c>
      <c r="L7" s="353"/>
      <c r="M7" s="354">
        <f>In!M7:N7</f>
        <v>0</v>
      </c>
      <c r="N7" s="355"/>
      <c r="P7" s="372"/>
      <c r="Q7" s="373"/>
      <c r="R7" s="311"/>
      <c r="S7" s="311"/>
      <c r="T7" s="303"/>
      <c r="U7" s="25"/>
      <c r="V7" s="25"/>
      <c r="W7" s="25"/>
    </row>
    <row r="8" spans="1:25" s="26" customFormat="1" ht="16.95" customHeight="1">
      <c r="A8" s="367" t="s">
        <v>19</v>
      </c>
      <c r="B8" s="368"/>
      <c r="C8" s="369">
        <f>In!C8:G8</f>
        <v>0</v>
      </c>
      <c r="D8" s="370"/>
      <c r="E8" s="370"/>
      <c r="F8" s="370"/>
      <c r="G8" s="371"/>
      <c r="I8" s="351" t="s">
        <v>20</v>
      </c>
      <c r="J8" s="352"/>
      <c r="K8" s="353" t="s">
        <v>18</v>
      </c>
      <c r="L8" s="353"/>
      <c r="M8" s="354">
        <f>In!M8:N8</f>
        <v>0</v>
      </c>
      <c r="N8" s="355"/>
      <c r="P8" s="374"/>
      <c r="Q8" s="375"/>
      <c r="R8" s="312"/>
      <c r="S8" s="312"/>
      <c r="T8" s="304"/>
      <c r="U8" s="25"/>
      <c r="V8" s="25"/>
      <c r="W8" s="25"/>
    </row>
    <row r="9" spans="1:25" s="26" customFormat="1" ht="16.95" customHeight="1">
      <c r="A9" s="358" t="s">
        <v>21</v>
      </c>
      <c r="B9" s="359"/>
      <c r="C9" s="360">
        <f>In!C9</f>
        <v>0</v>
      </c>
      <c r="D9" s="361"/>
      <c r="E9" s="361"/>
      <c r="F9" s="361"/>
      <c r="G9" s="362"/>
      <c r="I9" s="351" t="str">
        <f>In!I9:J9</f>
        <v>Số lượng in thực tế</v>
      </c>
      <c r="J9" s="352"/>
      <c r="K9" s="353" t="s">
        <v>18</v>
      </c>
      <c r="L9" s="353"/>
      <c r="M9" s="363">
        <f>Tráng!M9:N9</f>
        <v>0</v>
      </c>
      <c r="N9" s="364"/>
      <c r="P9" s="349" t="s">
        <v>313</v>
      </c>
      <c r="Q9" s="350"/>
      <c r="R9" s="31" t="s">
        <v>313</v>
      </c>
      <c r="S9" s="103"/>
      <c r="T9" s="32"/>
      <c r="U9" s="25"/>
      <c r="V9" s="25"/>
      <c r="W9" s="25"/>
    </row>
    <row r="10" spans="1:25" s="26" customFormat="1" ht="16.95" customHeight="1">
      <c r="A10" s="33"/>
      <c r="B10" s="33"/>
      <c r="C10" s="25"/>
      <c r="D10" s="34"/>
      <c r="E10" s="34"/>
      <c r="F10" s="34"/>
      <c r="G10" s="34"/>
      <c r="I10" s="351" t="s">
        <v>26</v>
      </c>
      <c r="J10" s="352"/>
      <c r="K10" s="353" t="s">
        <v>18</v>
      </c>
      <c r="L10" s="353"/>
      <c r="M10" s="354">
        <f>M8*2+0.06</f>
        <v>0.06</v>
      </c>
      <c r="N10" s="355"/>
      <c r="U10" s="25"/>
      <c r="V10" s="25"/>
      <c r="W10" s="25"/>
    </row>
    <row r="11" spans="1:25" s="26" customFormat="1" ht="16.95" customHeight="1">
      <c r="A11" s="33"/>
      <c r="B11" s="33"/>
      <c r="C11" s="25"/>
      <c r="D11" s="34"/>
      <c r="E11" s="34"/>
      <c r="F11" s="34"/>
      <c r="G11" s="34"/>
      <c r="I11" s="351" t="s">
        <v>27</v>
      </c>
      <c r="J11" s="352"/>
      <c r="K11" s="353" t="s">
        <v>18</v>
      </c>
      <c r="L11" s="353"/>
      <c r="M11" s="354">
        <f>M10-0.02</f>
        <v>3.9999999999999994E-2</v>
      </c>
      <c r="N11" s="355"/>
      <c r="U11" s="25"/>
      <c r="V11" s="25"/>
      <c r="W11" s="25"/>
    </row>
    <row r="12" spans="1:25" s="26" customFormat="1" ht="16.95" customHeight="1">
      <c r="A12" s="33"/>
      <c r="B12" s="33"/>
      <c r="C12" s="25"/>
      <c r="D12" s="34"/>
      <c r="E12" s="34"/>
      <c r="F12" s="34"/>
      <c r="G12" s="34"/>
      <c r="I12" s="351" t="s">
        <v>28</v>
      </c>
      <c r="J12" s="352"/>
      <c r="K12" s="353" t="s">
        <v>18</v>
      </c>
      <c r="L12" s="353"/>
      <c r="M12" s="354"/>
      <c r="N12" s="355"/>
      <c r="U12" s="25"/>
      <c r="V12" s="25"/>
      <c r="W12" s="25"/>
    </row>
    <row r="13" spans="1:25" s="26" customFormat="1" ht="16.95" customHeight="1">
      <c r="A13" s="33"/>
      <c r="B13" s="33"/>
      <c r="C13" s="25"/>
      <c r="D13" s="34"/>
      <c r="E13" s="34"/>
      <c r="F13" s="34"/>
      <c r="G13" s="34"/>
      <c r="I13" s="356" t="s">
        <v>29</v>
      </c>
      <c r="J13" s="357"/>
      <c r="K13" s="315" t="s">
        <v>30</v>
      </c>
      <c r="L13" s="315"/>
      <c r="M13" s="316">
        <f>In!M14:N14</f>
        <v>0</v>
      </c>
      <c r="N13" s="317"/>
      <c r="U13" s="25"/>
      <c r="V13" s="25"/>
      <c r="W13" s="25"/>
    </row>
    <row r="14" spans="1:25" ht="15.45" customHeight="1" thickBot="1">
      <c r="A14" s="36"/>
      <c r="B14" s="37"/>
      <c r="C14" s="37"/>
      <c r="D14" s="37"/>
      <c r="E14" s="37"/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36"/>
    </row>
    <row r="15" spans="1:25" ht="22.5" customHeight="1">
      <c r="A15" s="318" t="s">
        <v>31</v>
      </c>
      <c r="B15" s="320" t="s">
        <v>32</v>
      </c>
      <c r="C15" s="320" t="s">
        <v>33</v>
      </c>
      <c r="D15" s="320" t="s">
        <v>34</v>
      </c>
      <c r="E15" s="328" t="s">
        <v>315</v>
      </c>
      <c r="F15" s="320" t="s">
        <v>35</v>
      </c>
      <c r="G15" s="320" t="s">
        <v>36</v>
      </c>
      <c r="H15" s="340" t="s">
        <v>37</v>
      </c>
      <c r="I15" s="348"/>
      <c r="J15" s="348"/>
      <c r="K15" s="348"/>
      <c r="L15" s="313"/>
      <c r="M15" s="340" t="s">
        <v>38</v>
      </c>
      <c r="N15" s="348"/>
      <c r="O15" s="348"/>
      <c r="P15" s="313"/>
      <c r="Q15" s="340" t="s">
        <v>39</v>
      </c>
      <c r="R15" s="346" t="s">
        <v>40</v>
      </c>
      <c r="S15" s="313" t="s">
        <v>41</v>
      </c>
      <c r="T15" s="305" t="s">
        <v>42</v>
      </c>
    </row>
    <row r="16" spans="1:25" ht="22.5" customHeight="1" thickBot="1">
      <c r="A16" s="319"/>
      <c r="B16" s="321"/>
      <c r="C16" s="321"/>
      <c r="D16" s="321"/>
      <c r="E16" s="329"/>
      <c r="F16" s="321"/>
      <c r="G16" s="321"/>
      <c r="H16" s="38" t="s">
        <v>43</v>
      </c>
      <c r="I16" s="38" t="s">
        <v>44</v>
      </c>
      <c r="J16" s="38" t="s">
        <v>45</v>
      </c>
      <c r="K16" s="38" t="s">
        <v>46</v>
      </c>
      <c r="L16" s="38" t="s">
        <v>47</v>
      </c>
      <c r="M16" s="38" t="s">
        <v>43</v>
      </c>
      <c r="N16" s="38" t="s">
        <v>44</v>
      </c>
      <c r="O16" s="38" t="s">
        <v>45</v>
      </c>
      <c r="P16" s="38" t="s">
        <v>46</v>
      </c>
      <c r="Q16" s="341"/>
      <c r="R16" s="347"/>
      <c r="S16" s="314"/>
      <c r="T16" s="306"/>
    </row>
    <row r="17" spans="1:20" ht="26.4" customHeight="1">
      <c r="A17" s="334" t="s">
        <v>76</v>
      </c>
      <c r="B17" s="228">
        <v>1</v>
      </c>
      <c r="C17" s="243" t="s">
        <v>77</v>
      </c>
      <c r="D17" s="243" t="s">
        <v>78</v>
      </c>
      <c r="E17" s="243"/>
      <c r="F17" s="233" t="s">
        <v>49</v>
      </c>
      <c r="G17" s="259"/>
      <c r="H17" s="188"/>
      <c r="I17" s="48"/>
      <c r="J17" s="48"/>
      <c r="K17" s="48"/>
      <c r="L17" s="49"/>
      <c r="M17" s="50"/>
      <c r="N17" s="48"/>
      <c r="O17" s="48"/>
      <c r="P17" s="49"/>
      <c r="Q17" s="51"/>
      <c r="R17" s="47"/>
      <c r="S17" s="330" t="s">
        <v>68</v>
      </c>
      <c r="T17" s="307" t="s">
        <v>68</v>
      </c>
    </row>
    <row r="18" spans="1:20" ht="26.4" customHeight="1">
      <c r="A18" s="335"/>
      <c r="B18" s="229">
        <v>2</v>
      </c>
      <c r="C18" s="217" t="s">
        <v>79</v>
      </c>
      <c r="D18" s="217" t="s">
        <v>80</v>
      </c>
      <c r="E18" s="217"/>
      <c r="F18" s="229" t="s">
        <v>49</v>
      </c>
      <c r="G18" s="260"/>
      <c r="H18" s="54"/>
      <c r="I18" s="29"/>
      <c r="J18" s="29"/>
      <c r="K18" s="29"/>
      <c r="L18" s="30"/>
      <c r="M18" s="54"/>
      <c r="N18" s="29"/>
      <c r="O18" s="29"/>
      <c r="P18" s="30"/>
      <c r="Q18" s="56"/>
      <c r="R18" s="58"/>
      <c r="S18" s="331"/>
      <c r="T18" s="308"/>
    </row>
    <row r="19" spans="1:20" ht="26.4" customHeight="1">
      <c r="A19" s="335"/>
      <c r="B19" s="338">
        <v>3</v>
      </c>
      <c r="C19" s="342">
        <f>Thổi!C19</f>
        <v>0</v>
      </c>
      <c r="D19" s="344">
        <f>Thổi!D19</f>
        <v>0</v>
      </c>
      <c r="E19" s="252"/>
      <c r="F19" s="257" t="s">
        <v>49</v>
      </c>
      <c r="G19" s="261">
        <f>Thổi!G19</f>
        <v>0</v>
      </c>
      <c r="H19" s="54"/>
      <c r="I19" s="29"/>
      <c r="J19" s="29"/>
      <c r="K19" s="29"/>
      <c r="L19" s="30"/>
      <c r="M19" s="54"/>
      <c r="N19" s="29"/>
      <c r="O19" s="29"/>
      <c r="P19" s="30"/>
      <c r="Q19" s="56"/>
      <c r="R19" s="58"/>
      <c r="S19" s="331"/>
      <c r="T19" s="308"/>
    </row>
    <row r="20" spans="1:20" ht="31.95" customHeight="1">
      <c r="A20" s="335"/>
      <c r="B20" s="339"/>
      <c r="C20" s="343"/>
      <c r="D20" s="345"/>
      <c r="E20" s="217"/>
      <c r="F20" s="229" t="s">
        <v>56</v>
      </c>
      <c r="G20" s="262" t="e">
        <f>Thổi!G20</f>
        <v>#DIV/0!</v>
      </c>
      <c r="H20" s="54"/>
      <c r="I20" s="29"/>
      <c r="J20" s="29"/>
      <c r="K20" s="29"/>
      <c r="L20" s="30"/>
      <c r="M20" s="54"/>
      <c r="N20" s="29"/>
      <c r="O20" s="29"/>
      <c r="P20" s="30"/>
      <c r="Q20" s="56"/>
      <c r="R20" s="58"/>
      <c r="S20" s="331"/>
      <c r="T20" s="308"/>
    </row>
    <row r="21" spans="1:20" ht="26.4" customHeight="1">
      <c r="A21" s="336"/>
      <c r="B21" s="254">
        <v>4</v>
      </c>
      <c r="C21" s="217"/>
      <c r="D21" s="217"/>
      <c r="E21" s="252"/>
      <c r="F21" s="257"/>
      <c r="G21" s="261"/>
      <c r="H21" s="65"/>
      <c r="I21" s="63"/>
      <c r="J21" s="63"/>
      <c r="K21" s="63"/>
      <c r="L21" s="64"/>
      <c r="M21" s="65"/>
      <c r="N21" s="63"/>
      <c r="O21" s="63"/>
      <c r="P21" s="64"/>
      <c r="Q21" s="66"/>
      <c r="R21" s="62"/>
      <c r="S21" s="332"/>
      <c r="T21" s="309"/>
    </row>
    <row r="22" spans="1:20" ht="26.4" customHeight="1">
      <c r="A22" s="337"/>
      <c r="B22" s="239">
        <v>5</v>
      </c>
      <c r="C22" s="240"/>
      <c r="D22" s="231"/>
      <c r="E22" s="231"/>
      <c r="F22" s="246"/>
      <c r="G22" s="263"/>
      <c r="H22" s="70"/>
      <c r="I22" s="31"/>
      <c r="J22" s="31"/>
      <c r="K22" s="31"/>
      <c r="L22" s="69"/>
      <c r="M22" s="70"/>
      <c r="N22" s="31"/>
      <c r="O22" s="31"/>
      <c r="P22" s="69"/>
      <c r="Q22" s="72"/>
      <c r="R22" s="68"/>
      <c r="S22" s="333"/>
      <c r="T22" s="310"/>
    </row>
    <row r="23" spans="1:20" ht="13.5" customHeight="1">
      <c r="A23" s="322" t="s">
        <v>57</v>
      </c>
      <c r="B23" s="323"/>
      <c r="C23" s="323"/>
      <c r="D23" s="323"/>
      <c r="E23" s="323"/>
      <c r="F23" s="323"/>
      <c r="G23" s="323"/>
      <c r="H23" s="323"/>
      <c r="I23" s="323"/>
      <c r="J23" s="323"/>
      <c r="K23" s="323"/>
      <c r="L23" s="323"/>
      <c r="M23" s="323"/>
      <c r="N23" s="323"/>
      <c r="O23" s="323"/>
      <c r="P23" s="323"/>
      <c r="Q23" s="323"/>
      <c r="R23" s="323"/>
      <c r="S23" s="323"/>
      <c r="T23" s="324"/>
    </row>
    <row r="24" spans="1:20">
      <c r="A24" s="325"/>
      <c r="B24" s="326"/>
      <c r="C24" s="326"/>
      <c r="D24" s="326"/>
      <c r="E24" s="326"/>
      <c r="F24" s="326"/>
      <c r="G24" s="326"/>
      <c r="H24" s="326"/>
      <c r="I24" s="326"/>
      <c r="J24" s="326"/>
      <c r="K24" s="326"/>
      <c r="L24" s="326"/>
      <c r="M24" s="326"/>
      <c r="N24" s="326"/>
      <c r="O24" s="326"/>
      <c r="P24" s="326"/>
      <c r="Q24" s="326"/>
      <c r="R24" s="326"/>
      <c r="S24" s="326"/>
      <c r="T24" s="327"/>
    </row>
    <row r="33" spans="8:8">
      <c r="H33" s="23" t="s">
        <v>58</v>
      </c>
    </row>
  </sheetData>
  <mergeCells count="72">
    <mergeCell ref="R1:T1"/>
    <mergeCell ref="R2:T2"/>
    <mergeCell ref="R3:T3"/>
    <mergeCell ref="A4:B4"/>
    <mergeCell ref="P4:T4"/>
    <mergeCell ref="A1:Q3"/>
    <mergeCell ref="V4:W4"/>
    <mergeCell ref="A5:B5"/>
    <mergeCell ref="C5:G5"/>
    <mergeCell ref="I5:J5"/>
    <mergeCell ref="K5:L5"/>
    <mergeCell ref="M5:N5"/>
    <mergeCell ref="P5:R5"/>
    <mergeCell ref="S5:T5"/>
    <mergeCell ref="P6:Q6"/>
    <mergeCell ref="A7:B7"/>
    <mergeCell ref="C7:G7"/>
    <mergeCell ref="I7:J7"/>
    <mergeCell ref="K7:L7"/>
    <mergeCell ref="M7:N7"/>
    <mergeCell ref="A6:B6"/>
    <mergeCell ref="C6:G6"/>
    <mergeCell ref="I6:J6"/>
    <mergeCell ref="K6:L6"/>
    <mergeCell ref="M6:N6"/>
    <mergeCell ref="P7:Q8"/>
    <mergeCell ref="A8:B8"/>
    <mergeCell ref="C8:G8"/>
    <mergeCell ref="I8:J8"/>
    <mergeCell ref="K8:L8"/>
    <mergeCell ref="A9:B9"/>
    <mergeCell ref="C9:G9"/>
    <mergeCell ref="I9:J9"/>
    <mergeCell ref="K9:L9"/>
    <mergeCell ref="M9:N9"/>
    <mergeCell ref="R7:R8"/>
    <mergeCell ref="R15:R16"/>
    <mergeCell ref="H15:L15"/>
    <mergeCell ref="M15:P15"/>
    <mergeCell ref="P9:Q9"/>
    <mergeCell ref="I10:J10"/>
    <mergeCell ref="K10:L10"/>
    <mergeCell ref="M10:N10"/>
    <mergeCell ref="I11:J11"/>
    <mergeCell ref="K11:L11"/>
    <mergeCell ref="M11:N11"/>
    <mergeCell ref="I12:J12"/>
    <mergeCell ref="K12:L12"/>
    <mergeCell ref="M8:N8"/>
    <mergeCell ref="M12:N12"/>
    <mergeCell ref="I13:J13"/>
    <mergeCell ref="A23:T24"/>
    <mergeCell ref="E15:E16"/>
    <mergeCell ref="S17:S22"/>
    <mergeCell ref="A17:A22"/>
    <mergeCell ref="B19:B20"/>
    <mergeCell ref="Q15:Q16"/>
    <mergeCell ref="C19:C20"/>
    <mergeCell ref="D19:D20"/>
    <mergeCell ref="K13:L13"/>
    <mergeCell ref="M13:N13"/>
    <mergeCell ref="A15:A16"/>
    <mergeCell ref="B15:B16"/>
    <mergeCell ref="C15:C16"/>
    <mergeCell ref="D15:D16"/>
    <mergeCell ref="F15:F16"/>
    <mergeCell ref="G15:G16"/>
    <mergeCell ref="T7:T8"/>
    <mergeCell ref="T15:T16"/>
    <mergeCell ref="T17:T22"/>
    <mergeCell ref="S7:S8"/>
    <mergeCell ref="S15:S16"/>
  </mergeCells>
  <conditionalFormatting sqref="D19:E19">
    <cfRule type="duplicateValues" dxfId="81" priority="6" stopIfTrue="1"/>
    <cfRule type="duplicateValues" dxfId="80" priority="7" stopIfTrue="1"/>
    <cfRule type="duplicateValues" dxfId="79" priority="8" stopIfTrue="1"/>
    <cfRule type="duplicateValues" dxfId="78" priority="9" stopIfTrue="1"/>
    <cfRule type="duplicateValues" dxfId="77" priority="10"/>
  </conditionalFormatting>
  <conditionalFormatting sqref="D21:E21">
    <cfRule type="duplicateValues" dxfId="76" priority="1" stopIfTrue="1"/>
    <cfRule type="duplicateValues" dxfId="75" priority="2" stopIfTrue="1"/>
    <cfRule type="duplicateValues" dxfId="74" priority="3" stopIfTrue="1"/>
    <cfRule type="duplicateValues" dxfId="73" priority="4" stopIfTrue="1"/>
    <cfRule type="duplicateValues" dxfId="72" priority="5"/>
  </conditionalFormatting>
  <printOptions horizontalCentered="1"/>
  <pageMargins left="0" right="0" top="0.75" bottom="0.75" header="0.3" footer="0.3"/>
  <pageSetup paperSize="9" scale="59" orientation="landscape" horizontalDpi="300" verticalDpi="30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  <pageSetUpPr fitToPage="1"/>
  </sheetPr>
  <dimension ref="A1:X68"/>
  <sheetViews>
    <sheetView showGridLines="0" view="pageBreakPreview" zoomScale="40" zoomScaleNormal="100" zoomScaleSheetLayoutView="40" zoomScalePageLayoutView="85" workbookViewId="0">
      <selection activeCell="K25" sqref="K25:L26"/>
    </sheetView>
  </sheetViews>
  <sheetFormatPr defaultColWidth="8.88671875" defaultRowHeight="13.8"/>
  <cols>
    <col min="1" max="1" width="4" style="26" customWidth="1"/>
    <col min="2" max="2" width="19.21875" style="26" customWidth="1"/>
    <col min="3" max="3" width="6.77734375" style="26" customWidth="1"/>
    <col min="4" max="4" width="10.109375" style="26" customWidth="1"/>
    <col min="5" max="6" width="9" style="26" customWidth="1"/>
    <col min="7" max="8" width="10.33203125" style="26" customWidth="1"/>
    <col min="9" max="9" width="1.77734375" style="26" customWidth="1"/>
    <col min="10" max="10" width="4" style="26" customWidth="1"/>
    <col min="11" max="11" width="11.109375" style="26" customWidth="1"/>
    <col min="12" max="12" width="4.77734375" style="26" customWidth="1"/>
    <col min="13" max="13" width="13.5546875" style="26" customWidth="1"/>
    <col min="14" max="15" width="8.88671875" style="26" customWidth="1"/>
    <col min="16" max="16" width="8" style="26" customWidth="1"/>
    <col min="17" max="17" width="8.88671875" style="26" customWidth="1"/>
    <col min="18" max="18" width="8.88671875" style="26"/>
    <col min="19" max="19" width="9.88671875" style="26" customWidth="1"/>
    <col min="20" max="20" width="50.6640625" style="26" customWidth="1"/>
    <col min="21" max="21" width="35.5546875" style="26" customWidth="1"/>
    <col min="22" max="16384" width="8.88671875" style="26"/>
  </cols>
  <sheetData>
    <row r="1" spans="1:24" ht="19.05" customHeight="1">
      <c r="A1" s="395"/>
      <c r="B1" s="395"/>
      <c r="C1" s="465"/>
      <c r="D1" s="465"/>
      <c r="E1" s="465"/>
      <c r="F1" s="465"/>
      <c r="G1" s="465"/>
      <c r="H1" s="465"/>
      <c r="I1" s="465"/>
      <c r="J1" s="465"/>
      <c r="K1" s="465"/>
      <c r="L1" s="465"/>
      <c r="M1" s="465"/>
      <c r="N1" s="466"/>
      <c r="O1" s="466"/>
      <c r="P1" s="466"/>
      <c r="Q1" s="466"/>
      <c r="R1"/>
    </row>
    <row r="2" spans="1:24" ht="19.05" customHeight="1">
      <c r="A2" s="395"/>
      <c r="B2" s="395"/>
      <c r="C2" s="465"/>
      <c r="D2" s="465"/>
      <c r="E2" s="465"/>
      <c r="F2" s="465"/>
      <c r="G2" s="465"/>
      <c r="H2" s="465"/>
      <c r="I2" s="465"/>
      <c r="J2" s="465"/>
      <c r="K2" s="465"/>
      <c r="L2" s="465"/>
      <c r="M2" s="465"/>
      <c r="N2" s="466"/>
      <c r="O2" s="466"/>
      <c r="P2" s="466"/>
      <c r="Q2" s="466"/>
      <c r="S2"/>
    </row>
    <row r="3" spans="1:24" ht="19.05" customHeight="1">
      <c r="A3" s="395"/>
      <c r="B3" s="395"/>
      <c r="C3" s="465"/>
      <c r="D3" s="465"/>
      <c r="E3" s="465"/>
      <c r="F3" s="465"/>
      <c r="G3" s="465"/>
      <c r="H3" s="465"/>
      <c r="I3" s="465"/>
      <c r="J3" s="465"/>
      <c r="K3" s="465"/>
      <c r="L3" s="465"/>
      <c r="M3" s="465"/>
      <c r="N3" s="466"/>
      <c r="O3" s="466"/>
      <c r="P3" s="466"/>
      <c r="Q3" s="466"/>
      <c r="T3" s="36"/>
    </row>
    <row r="4" spans="1:24" ht="15" customHeight="1">
      <c r="A4" s="23"/>
      <c r="C4" s="82"/>
      <c r="T4" s="36"/>
    </row>
    <row r="5" spans="1:24" ht="15" customHeight="1">
      <c r="A5" s="518"/>
      <c r="B5" s="518"/>
      <c r="C5" s="466"/>
      <c r="D5" s="466"/>
      <c r="E5" s="466"/>
      <c r="F5" s="466"/>
      <c r="G5" s="466"/>
      <c r="H5" s="466"/>
      <c r="I5" s="83"/>
      <c r="J5" s="83"/>
      <c r="K5" s="84"/>
      <c r="M5" s="83"/>
      <c r="N5" s="145"/>
      <c r="T5" s="36"/>
      <c r="U5" s="26" t="s">
        <v>59</v>
      </c>
      <c r="V5" s="26" t="s">
        <v>60</v>
      </c>
      <c r="W5" s="26" t="s">
        <v>61</v>
      </c>
      <c r="X5" s="26" t="s">
        <v>62</v>
      </c>
    </row>
    <row r="6" spans="1:24" ht="15" customHeight="1">
      <c r="A6" s="521"/>
      <c r="B6" s="521"/>
      <c r="C6" s="376"/>
      <c r="D6" s="376"/>
      <c r="E6" s="376"/>
      <c r="F6" s="376"/>
      <c r="G6" s="376"/>
      <c r="H6" s="376"/>
      <c r="I6" s="83"/>
      <c r="J6" s="83"/>
      <c r="K6" s="36"/>
      <c r="M6" s="83"/>
      <c r="T6" s="36"/>
    </row>
    <row r="7" spans="1:24" ht="15" customHeight="1">
      <c r="A7" s="521"/>
      <c r="B7" s="521"/>
      <c r="C7" s="376"/>
      <c r="D7" s="376"/>
      <c r="E7" s="376"/>
      <c r="F7" s="376"/>
      <c r="G7" s="376"/>
      <c r="H7" s="376"/>
      <c r="I7" s="85"/>
      <c r="J7" s="85"/>
      <c r="K7" s="86"/>
      <c r="M7" s="83"/>
      <c r="N7" s="86"/>
      <c r="T7" s="36"/>
    </row>
    <row r="8" spans="1:24" ht="20.399999999999999" customHeight="1">
      <c r="A8" s="521"/>
      <c r="B8" s="521"/>
      <c r="C8" s="466"/>
      <c r="D8" s="466"/>
      <c r="E8" s="466"/>
      <c r="F8" s="466"/>
      <c r="G8" s="466"/>
      <c r="H8" s="466"/>
      <c r="I8" s="466"/>
      <c r="J8" s="466"/>
      <c r="K8" s="466"/>
      <c r="L8" s="466"/>
      <c r="M8" s="83"/>
      <c r="N8" s="86"/>
      <c r="T8" s="23"/>
    </row>
    <row r="9" spans="1:24" ht="15" customHeight="1">
      <c r="A9" s="36"/>
      <c r="B9" s="36"/>
      <c r="C9" s="146"/>
      <c r="D9" s="146"/>
      <c r="E9" s="23"/>
      <c r="F9" s="146"/>
      <c r="G9" s="146"/>
      <c r="H9" s="146"/>
      <c r="I9" s="146"/>
      <c r="J9" s="146"/>
      <c r="K9" s="146"/>
      <c r="L9" s="146"/>
      <c r="R9" s="185"/>
      <c r="T9" s="36"/>
    </row>
    <row r="10" spans="1:24" ht="19.05" customHeight="1">
      <c r="A10" s="423"/>
      <c r="B10" s="423"/>
      <c r="C10" s="463"/>
      <c r="D10" s="463"/>
      <c r="E10" s="463"/>
      <c r="F10" s="463"/>
      <c r="G10" s="463"/>
      <c r="H10" s="463"/>
      <c r="I10" s="463"/>
      <c r="J10" s="463"/>
      <c r="K10" s="463"/>
      <c r="L10" s="463"/>
      <c r="M10" s="463"/>
      <c r="N10" s="463"/>
      <c r="O10" s="463"/>
      <c r="P10" s="463"/>
      <c r="Q10" s="463"/>
      <c r="T10" s="23"/>
    </row>
    <row r="11" spans="1:24" ht="19.05" customHeight="1">
      <c r="A11" s="376"/>
      <c r="B11" s="376"/>
      <c r="C11" s="423"/>
      <c r="D11" s="423"/>
      <c r="E11" s="423"/>
      <c r="F11" s="423"/>
      <c r="G11" s="423"/>
      <c r="H11" s="423"/>
      <c r="I11" s="423"/>
      <c r="J11" s="423"/>
      <c r="K11" s="423"/>
      <c r="L11" s="423"/>
      <c r="M11" s="423"/>
      <c r="N11" s="423"/>
      <c r="O11" s="423"/>
      <c r="P11" s="423"/>
      <c r="Q11" s="423"/>
      <c r="T11" s="36"/>
    </row>
    <row r="12" spans="1:24" ht="19.05" customHeight="1">
      <c r="A12" s="376"/>
      <c r="B12" s="376"/>
      <c r="C12" s="423"/>
      <c r="D12" s="423"/>
      <c r="E12" s="423"/>
      <c r="F12" s="423"/>
      <c r="G12" s="423"/>
      <c r="H12" s="423"/>
      <c r="I12" s="423"/>
      <c r="J12" s="423"/>
      <c r="K12" s="423"/>
      <c r="L12" s="423"/>
      <c r="M12" s="423"/>
      <c r="N12" s="423"/>
      <c r="O12" s="423"/>
      <c r="P12" s="423"/>
      <c r="Q12" s="423"/>
      <c r="T12" s="23"/>
    </row>
    <row r="13" spans="1:24" ht="19.05" customHeight="1">
      <c r="A13" s="376"/>
      <c r="B13" s="376"/>
      <c r="C13" s="463"/>
      <c r="D13" s="463"/>
      <c r="E13" s="463"/>
      <c r="F13" s="463"/>
      <c r="G13" s="463"/>
      <c r="H13" s="463"/>
      <c r="I13" s="463"/>
      <c r="J13" s="463"/>
      <c r="K13" s="423"/>
      <c r="L13" s="423"/>
      <c r="M13" s="423"/>
      <c r="N13" s="423"/>
      <c r="O13" s="423"/>
      <c r="P13" s="423"/>
      <c r="Q13" s="423"/>
      <c r="T13" s="23"/>
    </row>
    <row r="14" spans="1:24">
      <c r="T14" s="36"/>
    </row>
    <row r="15" spans="1:24" ht="24" customHeight="1">
      <c r="A15" s="518"/>
      <c r="B15" s="466"/>
      <c r="C15" s="466"/>
      <c r="D15" s="466"/>
      <c r="E15" s="466"/>
      <c r="F15" s="466"/>
      <c r="G15" s="466"/>
      <c r="H15" s="466"/>
      <c r="J15" s="463"/>
      <c r="K15" s="463"/>
      <c r="L15" s="463"/>
      <c r="M15" s="463"/>
      <c r="N15" s="463"/>
      <c r="O15" s="463"/>
      <c r="P15" s="463"/>
      <c r="Q15" s="463"/>
      <c r="T15" s="36"/>
      <c r="U15" s="23"/>
    </row>
    <row r="16" spans="1:24" ht="18" customHeight="1">
      <c r="A16" s="83"/>
      <c r="B16" s="83"/>
      <c r="C16" s="519"/>
      <c r="D16" s="520"/>
      <c r="E16" s="520"/>
      <c r="F16" s="520"/>
      <c r="G16" s="520"/>
      <c r="H16" s="520"/>
      <c r="J16" s="465"/>
      <c r="K16" s="463"/>
      <c r="L16" s="463"/>
      <c r="M16" s="463"/>
      <c r="N16" s="463"/>
      <c r="O16" s="463"/>
      <c r="P16" s="463"/>
      <c r="Q16" s="463"/>
      <c r="T16" s="33"/>
      <c r="U16" s="23"/>
    </row>
    <row r="17" spans="1:20" ht="18" customHeight="1">
      <c r="A17" s="83"/>
      <c r="B17" s="83"/>
      <c r="C17" s="423"/>
      <c r="D17" s="423"/>
      <c r="E17" s="423"/>
      <c r="F17" s="423"/>
      <c r="G17" s="423"/>
      <c r="H17" s="423"/>
      <c r="J17" s="423"/>
      <c r="K17" s="423"/>
      <c r="L17" s="423"/>
      <c r="M17" s="423"/>
      <c r="N17" s="423"/>
      <c r="O17" s="423"/>
      <c r="P17" s="423"/>
      <c r="Q17" s="423"/>
      <c r="T17" s="36"/>
    </row>
    <row r="18" spans="1:20" ht="18" customHeight="1">
      <c r="A18" s="83"/>
      <c r="B18" s="83"/>
      <c r="C18" s="516"/>
      <c r="D18" s="376"/>
      <c r="E18" s="376"/>
      <c r="F18" s="466"/>
      <c r="G18" s="466"/>
      <c r="H18" s="466"/>
      <c r="J18" s="423"/>
      <c r="K18" s="423"/>
      <c r="L18" s="423"/>
      <c r="M18" s="423"/>
      <c r="N18" s="423"/>
      <c r="O18" s="423"/>
      <c r="P18" s="423"/>
      <c r="Q18" s="423"/>
      <c r="T18" s="23"/>
    </row>
    <row r="19" spans="1:20" ht="18" customHeight="1">
      <c r="A19" s="138"/>
      <c r="B19" s="170"/>
      <c r="C19" s="463"/>
      <c r="D19" s="517"/>
      <c r="E19" s="170"/>
      <c r="F19" s="186"/>
      <c r="G19" s="186"/>
      <c r="H19" s="186"/>
      <c r="T19" s="174"/>
    </row>
    <row r="20" spans="1:20" ht="18" customHeight="1">
      <c r="A20" s="34"/>
      <c r="C20" s="376"/>
      <c r="D20" s="376"/>
      <c r="E20" s="171"/>
      <c r="F20" s="34"/>
      <c r="G20" s="173"/>
      <c r="H20" s="173"/>
      <c r="J20" s="463"/>
      <c r="K20" s="463"/>
      <c r="L20" s="463"/>
      <c r="M20" s="463"/>
      <c r="N20" s="463"/>
      <c r="O20" s="463"/>
      <c r="P20" s="463"/>
      <c r="Q20" s="463"/>
      <c r="T20" s="36"/>
    </row>
    <row r="21" spans="1:20" ht="18" customHeight="1">
      <c r="A21" s="34"/>
      <c r="B21" s="25"/>
      <c r="C21" s="376"/>
      <c r="D21" s="376"/>
      <c r="E21" s="171"/>
      <c r="F21" s="34"/>
      <c r="G21" s="173"/>
      <c r="H21" s="34"/>
      <c r="J21" s="465"/>
      <c r="K21" s="463"/>
      <c r="L21" s="463"/>
      <c r="M21" s="463"/>
      <c r="N21" s="463"/>
      <c r="O21" s="463"/>
      <c r="P21" s="463"/>
      <c r="Q21" s="463"/>
      <c r="T21" s="36"/>
    </row>
    <row r="22" spans="1:20" ht="18" customHeight="1">
      <c r="A22" s="34"/>
      <c r="B22" s="25"/>
      <c r="C22" s="376"/>
      <c r="D22" s="376"/>
      <c r="E22" s="171"/>
      <c r="F22" s="34"/>
      <c r="G22" s="173"/>
      <c r="H22" s="34"/>
      <c r="J22" s="423"/>
      <c r="K22" s="423"/>
      <c r="L22" s="423"/>
      <c r="M22" s="423"/>
      <c r="N22" s="423"/>
      <c r="O22" s="423"/>
      <c r="P22" s="423"/>
      <c r="Q22" s="423"/>
      <c r="T22" s="36"/>
    </row>
    <row r="23" spans="1:20" ht="18" customHeight="1">
      <c r="A23" s="34"/>
      <c r="B23" s="25"/>
      <c r="C23" s="376"/>
      <c r="D23" s="376"/>
      <c r="E23" s="187"/>
      <c r="F23" s="143"/>
      <c r="G23" s="173"/>
      <c r="J23" s="423"/>
      <c r="K23" s="423"/>
      <c r="L23" s="423"/>
      <c r="M23" s="423"/>
      <c r="N23" s="423"/>
      <c r="O23" s="423"/>
      <c r="P23" s="423"/>
      <c r="Q23" s="423"/>
      <c r="T23" s="36"/>
    </row>
    <row r="24" spans="1:20" ht="18" customHeight="1">
      <c r="B24" s="25"/>
      <c r="C24" s="36"/>
      <c r="D24" s="395"/>
      <c r="E24" s="395"/>
      <c r="F24" s="104"/>
      <c r="G24" s="423"/>
      <c r="H24" s="423"/>
      <c r="J24" s="34"/>
      <c r="K24" s="34"/>
      <c r="L24" s="34"/>
      <c r="M24" s="34"/>
      <c r="N24" s="34"/>
      <c r="O24" s="34"/>
      <c r="P24" s="34"/>
      <c r="Q24" s="34"/>
      <c r="T24" s="36"/>
    </row>
    <row r="25" spans="1:20" ht="18" customHeight="1">
      <c r="A25" s="463"/>
      <c r="B25" s="463"/>
      <c r="C25" s="463"/>
      <c r="D25" s="465"/>
      <c r="E25" s="515"/>
      <c r="F25" s="515"/>
      <c r="G25" s="463"/>
      <c r="H25" s="463"/>
      <c r="J25" s="463"/>
      <c r="K25" s="463"/>
      <c r="L25" s="463"/>
      <c r="M25" s="465"/>
      <c r="N25" s="515"/>
      <c r="O25" s="515"/>
      <c r="P25" s="463"/>
      <c r="Q25" s="463"/>
      <c r="R25" s="109"/>
      <c r="T25" s="36"/>
    </row>
    <row r="26" spans="1:20" ht="18" customHeight="1">
      <c r="A26" s="463"/>
      <c r="B26" s="463"/>
      <c r="C26" s="463"/>
      <c r="D26" s="465"/>
      <c r="E26" s="170"/>
      <c r="F26" s="170"/>
      <c r="G26" s="463"/>
      <c r="H26" s="463"/>
      <c r="J26" s="463"/>
      <c r="K26" s="463"/>
      <c r="L26" s="463"/>
      <c r="M26" s="465"/>
      <c r="N26" s="170"/>
      <c r="O26" s="170"/>
      <c r="P26" s="463"/>
      <c r="Q26" s="463"/>
      <c r="R26" s="109"/>
      <c r="T26" s="36"/>
    </row>
    <row r="27" spans="1:20" ht="19.95" customHeight="1">
      <c r="A27" s="34"/>
      <c r="B27" s="376"/>
      <c r="C27" s="376"/>
      <c r="D27" s="24"/>
      <c r="E27" s="25"/>
      <c r="F27" s="187"/>
      <c r="G27" s="34"/>
      <c r="H27" s="34"/>
      <c r="J27" s="34"/>
      <c r="K27" s="376"/>
      <c r="L27" s="376"/>
      <c r="M27" s="24"/>
      <c r="N27" s="25"/>
      <c r="O27" s="187"/>
      <c r="P27" s="34"/>
      <c r="R27" s="110"/>
      <c r="T27" s="36"/>
    </row>
    <row r="28" spans="1:20" ht="19.95" customHeight="1">
      <c r="A28" s="34"/>
      <c r="B28" s="376"/>
      <c r="C28" s="376"/>
      <c r="D28" s="301"/>
      <c r="E28" s="25"/>
      <c r="F28" s="187"/>
      <c r="G28" s="34"/>
      <c r="H28" s="34"/>
      <c r="J28" s="34"/>
      <c r="K28" s="376"/>
      <c r="L28" s="376"/>
      <c r="M28" s="24"/>
      <c r="N28" s="25"/>
      <c r="O28" s="187"/>
      <c r="P28" s="34"/>
      <c r="R28" s="110"/>
      <c r="T28" s="36"/>
    </row>
    <row r="29" spans="1:20" ht="19.95" customHeight="1">
      <c r="A29" s="34"/>
      <c r="B29" s="376"/>
      <c r="C29" s="376"/>
      <c r="D29" s="24"/>
      <c r="E29" s="25"/>
      <c r="F29" s="34"/>
      <c r="G29" s="34"/>
      <c r="H29" s="34"/>
      <c r="J29" s="34"/>
      <c r="K29" s="376"/>
      <c r="L29" s="376"/>
      <c r="M29" s="24"/>
      <c r="N29" s="25"/>
      <c r="O29" s="187"/>
      <c r="P29" s="34"/>
      <c r="R29" s="110"/>
      <c r="T29" s="36"/>
    </row>
    <row r="30" spans="1:20" ht="19.95" customHeight="1">
      <c r="A30" s="34"/>
      <c r="B30" s="376"/>
      <c r="C30" s="376"/>
      <c r="D30" s="24"/>
      <c r="E30" s="25"/>
      <c r="F30" s="187"/>
      <c r="G30" s="34"/>
      <c r="H30" s="34"/>
      <c r="J30" s="34"/>
      <c r="K30" s="376"/>
      <c r="L30" s="376"/>
      <c r="M30" s="24"/>
      <c r="N30" s="25"/>
      <c r="O30" s="34"/>
      <c r="P30" s="34"/>
      <c r="R30" s="110"/>
      <c r="T30" s="36"/>
    </row>
    <row r="31" spans="1:20" ht="19.95" customHeight="1">
      <c r="A31" s="34"/>
      <c r="B31" s="376"/>
      <c r="C31" s="376"/>
      <c r="D31" s="24"/>
      <c r="E31" s="25"/>
      <c r="F31" s="187"/>
      <c r="G31" s="34"/>
      <c r="H31" s="34"/>
      <c r="J31" s="34"/>
      <c r="K31" s="376"/>
      <c r="L31" s="376"/>
      <c r="M31" s="33"/>
      <c r="N31" s="25"/>
      <c r="O31" s="187"/>
      <c r="P31" s="34"/>
      <c r="Q31" s="83"/>
      <c r="R31" s="109"/>
      <c r="T31" s="36"/>
    </row>
    <row r="32" spans="1:20" ht="19.95" customHeight="1">
      <c r="A32" s="34"/>
      <c r="B32" s="376"/>
      <c r="C32" s="376"/>
      <c r="D32" s="24"/>
      <c r="E32" s="25"/>
      <c r="F32" s="187"/>
      <c r="G32" s="34"/>
      <c r="H32" s="34"/>
      <c r="J32" s="423"/>
      <c r="K32" s="376"/>
      <c r="L32" s="376"/>
      <c r="M32" s="466"/>
      <c r="N32" s="423"/>
      <c r="O32" s="423"/>
      <c r="P32" s="464"/>
      <c r="Q32" s="463"/>
      <c r="R32" s="110"/>
      <c r="T32" s="36"/>
    </row>
    <row r="33" spans="1:20" ht="19.95" customHeight="1">
      <c r="A33" s="34"/>
      <c r="B33" s="376"/>
      <c r="C33" s="376"/>
      <c r="D33" s="24"/>
      <c r="E33" s="25"/>
      <c r="F33" s="187"/>
      <c r="G33" s="34"/>
      <c r="H33" s="34"/>
      <c r="J33" s="423"/>
      <c r="K33" s="376"/>
      <c r="L33" s="376"/>
      <c r="M33" s="376"/>
      <c r="N33" s="423"/>
      <c r="O33" s="423"/>
      <c r="P33" s="464"/>
      <c r="Q33" s="463"/>
      <c r="R33" s="110"/>
      <c r="T33" s="36"/>
    </row>
    <row r="34" spans="1:20" ht="19.95" customHeight="1">
      <c r="A34" s="34"/>
      <c r="B34" s="376"/>
      <c r="C34" s="376"/>
      <c r="D34" s="24"/>
      <c r="E34" s="25"/>
      <c r="F34" s="187"/>
      <c r="G34" s="34"/>
      <c r="H34" s="34"/>
      <c r="J34" s="423"/>
      <c r="K34" s="376"/>
      <c r="L34" s="376"/>
      <c r="M34" s="376"/>
      <c r="N34" s="423"/>
      <c r="O34" s="423"/>
      <c r="P34" s="464"/>
      <c r="Q34" s="463"/>
      <c r="R34" s="110"/>
      <c r="T34" s="36" t="s">
        <v>318</v>
      </c>
    </row>
    <row r="35" spans="1:20" ht="19.95" customHeight="1">
      <c r="A35" s="34"/>
      <c r="B35" s="376"/>
      <c r="C35" s="376"/>
      <c r="D35" s="24"/>
      <c r="E35" s="25"/>
      <c r="F35" s="187"/>
      <c r="G35" s="34"/>
      <c r="H35" s="34"/>
      <c r="R35" s="110"/>
      <c r="T35" s="36"/>
    </row>
    <row r="36" spans="1:20" ht="19.95" customHeight="1">
      <c r="A36" s="34"/>
      <c r="B36" s="376"/>
      <c r="C36" s="376"/>
      <c r="D36" s="24"/>
      <c r="E36" s="25"/>
      <c r="F36" s="187"/>
      <c r="G36" s="34"/>
      <c r="H36" s="34"/>
      <c r="J36" s="83"/>
      <c r="K36" s="463"/>
      <c r="L36" s="463"/>
      <c r="M36" s="463"/>
      <c r="N36" s="463"/>
      <c r="O36" s="463"/>
      <c r="P36" s="463"/>
      <c r="Q36" s="463"/>
      <c r="R36" s="110"/>
      <c r="T36" s="36"/>
    </row>
    <row r="37" spans="1:20" ht="19.95" customHeight="1">
      <c r="A37" s="34"/>
      <c r="B37" s="376"/>
      <c r="C37" s="376"/>
      <c r="D37" s="24"/>
      <c r="E37" s="25"/>
      <c r="F37" s="187"/>
      <c r="G37" s="34"/>
      <c r="H37" s="34"/>
      <c r="J37" s="34"/>
      <c r="K37" s="463"/>
      <c r="L37" s="463"/>
      <c r="M37" s="463"/>
      <c r="N37" s="463"/>
      <c r="O37" s="463"/>
      <c r="P37" s="463"/>
      <c r="Q37" s="463"/>
      <c r="R37" s="110"/>
      <c r="T37" s="36"/>
    </row>
    <row r="38" spans="1:20" ht="19.95" customHeight="1">
      <c r="A38" s="34"/>
      <c r="B38" s="376"/>
      <c r="C38" s="376"/>
      <c r="D38" s="24"/>
      <c r="E38" s="25"/>
      <c r="F38" s="187"/>
      <c r="G38" s="34"/>
      <c r="H38" s="34"/>
      <c r="J38" s="34"/>
      <c r="K38" s="463"/>
      <c r="L38" s="463"/>
      <c r="M38" s="463"/>
      <c r="N38" s="463"/>
      <c r="O38" s="463"/>
      <c r="P38" s="463"/>
      <c r="Q38" s="463"/>
      <c r="R38" s="110"/>
      <c r="T38" s="36"/>
    </row>
    <row r="39" spans="1:20" ht="19.95" customHeight="1">
      <c r="A39" s="34"/>
      <c r="B39" s="376"/>
      <c r="C39" s="376"/>
      <c r="D39" s="24"/>
      <c r="E39" s="25"/>
      <c r="F39" s="187"/>
      <c r="G39" s="34"/>
      <c r="H39" s="34"/>
      <c r="J39" s="34"/>
      <c r="K39" s="463"/>
      <c r="L39" s="463"/>
      <c r="M39" s="463"/>
      <c r="N39" s="463"/>
      <c r="O39" s="463"/>
      <c r="P39" s="463"/>
      <c r="Q39" s="463"/>
      <c r="R39" s="110"/>
      <c r="T39" s="36"/>
    </row>
    <row r="40" spans="1:20" ht="19.95" customHeight="1">
      <c r="A40" s="34"/>
      <c r="B40" s="376"/>
      <c r="C40" s="376"/>
      <c r="D40" s="24"/>
      <c r="E40" s="25"/>
      <c r="F40" s="187"/>
      <c r="G40" s="34"/>
      <c r="H40" s="34"/>
      <c r="J40" s="34"/>
      <c r="K40" s="463"/>
      <c r="L40" s="463"/>
      <c r="M40" s="463"/>
      <c r="N40" s="463"/>
      <c r="O40" s="463"/>
      <c r="P40" s="463"/>
      <c r="Q40" s="463"/>
      <c r="T40" s="36"/>
    </row>
    <row r="41" spans="1:20" ht="19.95" customHeight="1">
      <c r="A41" s="34"/>
      <c r="B41" s="376"/>
      <c r="C41" s="376"/>
      <c r="D41" s="24"/>
      <c r="E41" s="25"/>
      <c r="F41" s="187"/>
      <c r="G41" s="34"/>
      <c r="H41" s="34"/>
      <c r="J41" s="34"/>
      <c r="K41" s="463"/>
      <c r="L41" s="463"/>
      <c r="M41" s="463"/>
      <c r="N41" s="463"/>
      <c r="O41" s="463"/>
      <c r="P41" s="463"/>
      <c r="Q41" s="463"/>
      <c r="R41" s="110"/>
      <c r="T41" s="36"/>
    </row>
    <row r="42" spans="1:20" ht="19.95" customHeight="1">
      <c r="A42" s="34"/>
      <c r="B42" s="376"/>
      <c r="C42" s="376"/>
      <c r="D42" s="24"/>
      <c r="E42" s="25"/>
      <c r="F42" s="187"/>
      <c r="G42" s="34"/>
      <c r="H42" s="34"/>
      <c r="J42" s="138"/>
      <c r="K42" s="138"/>
      <c r="L42" s="138"/>
      <c r="M42" s="138"/>
      <c r="N42" s="138"/>
      <c r="O42" s="138"/>
      <c r="P42" s="138"/>
      <c r="Q42" s="138"/>
      <c r="R42" s="110"/>
      <c r="T42" s="36"/>
    </row>
    <row r="43" spans="1:20" ht="19.95" customHeight="1">
      <c r="A43" s="34"/>
      <c r="B43" s="376"/>
      <c r="C43" s="376"/>
      <c r="D43" s="24"/>
      <c r="E43" s="25"/>
      <c r="F43" s="187"/>
      <c r="G43" s="34"/>
      <c r="H43" s="34"/>
      <c r="J43" s="463"/>
      <c r="K43" s="463"/>
      <c r="L43" s="463"/>
      <c r="M43" s="465"/>
      <c r="N43" s="463"/>
      <c r="O43" s="463"/>
      <c r="P43" s="463"/>
      <c r="Q43" s="463"/>
      <c r="R43" s="110"/>
      <c r="T43" s="36"/>
    </row>
    <row r="44" spans="1:20" ht="19.95" customHeight="1">
      <c r="A44" s="34"/>
      <c r="B44" s="376"/>
      <c r="C44" s="376"/>
      <c r="D44" s="24"/>
      <c r="E44" s="25"/>
      <c r="F44" s="187"/>
      <c r="G44" s="34"/>
      <c r="H44" s="34"/>
      <c r="J44" s="463"/>
      <c r="K44" s="463"/>
      <c r="L44" s="463"/>
      <c r="M44" s="463"/>
      <c r="N44" s="463"/>
      <c r="O44" s="463"/>
      <c r="P44" s="463"/>
      <c r="Q44" s="463"/>
      <c r="R44" s="110"/>
      <c r="T44" s="36"/>
    </row>
    <row r="45" spans="1:20" ht="19.95" customHeight="1">
      <c r="A45" s="34"/>
      <c r="B45" s="376"/>
      <c r="C45" s="376"/>
      <c r="D45" s="24"/>
      <c r="E45" s="25"/>
      <c r="F45" s="187"/>
      <c r="G45" s="34"/>
      <c r="H45" s="34"/>
      <c r="J45" s="463"/>
      <c r="K45" s="463"/>
      <c r="L45" s="463"/>
      <c r="M45" s="463"/>
      <c r="N45" s="463"/>
      <c r="O45" s="463"/>
      <c r="P45" s="463"/>
      <c r="Q45" s="463"/>
      <c r="R45" s="110"/>
      <c r="T45" s="36"/>
    </row>
    <row r="46" spans="1:20" ht="19.95" customHeight="1">
      <c r="A46" s="34"/>
      <c r="B46" s="376"/>
      <c r="C46" s="376"/>
      <c r="D46" s="302"/>
      <c r="E46" s="25"/>
      <c r="F46" s="187"/>
      <c r="G46" s="34"/>
      <c r="H46" s="34"/>
      <c r="J46" s="463"/>
      <c r="K46" s="463"/>
      <c r="L46" s="463"/>
      <c r="M46" s="463"/>
      <c r="N46" s="463"/>
      <c r="O46" s="463"/>
      <c r="P46" s="463"/>
      <c r="Q46" s="463"/>
      <c r="R46" s="110"/>
      <c r="T46" s="36"/>
    </row>
    <row r="47" spans="1:20" ht="19.95" customHeight="1">
      <c r="A47" s="34"/>
      <c r="B47" s="376"/>
      <c r="C47" s="376"/>
      <c r="D47" s="24"/>
      <c r="E47" s="25"/>
      <c r="F47" s="187"/>
      <c r="G47" s="34"/>
      <c r="H47" s="34"/>
      <c r="J47" s="463"/>
      <c r="K47" s="463"/>
      <c r="L47" s="463"/>
      <c r="M47" s="463"/>
      <c r="N47" s="463"/>
      <c r="O47" s="463"/>
      <c r="P47" s="463"/>
      <c r="Q47" s="463"/>
      <c r="R47" s="110"/>
      <c r="T47" s="36"/>
    </row>
    <row r="48" spans="1:20" ht="54" customHeight="1">
      <c r="A48" s="34"/>
      <c r="B48" s="376"/>
      <c r="C48" s="376"/>
      <c r="D48" s="24"/>
      <c r="E48" s="25"/>
      <c r="F48" s="187"/>
      <c r="G48" s="34"/>
      <c r="H48" s="34"/>
      <c r="J48" s="463"/>
      <c r="K48" s="463"/>
      <c r="L48" s="463"/>
      <c r="M48" s="463"/>
      <c r="N48" s="463"/>
      <c r="O48" s="463"/>
      <c r="P48" s="463"/>
      <c r="Q48" s="463"/>
      <c r="R48" s="110"/>
      <c r="T48" s="36"/>
    </row>
    <row r="49" spans="1:20" ht="19.95" customHeight="1">
      <c r="A49" s="486" t="s">
        <v>81</v>
      </c>
      <c r="B49" s="487"/>
      <c r="C49" s="487"/>
      <c r="D49" s="487"/>
      <c r="E49" s="488"/>
      <c r="F49" s="492" t="s">
        <v>82</v>
      </c>
      <c r="G49" s="493"/>
      <c r="H49" s="493"/>
      <c r="I49" s="493"/>
      <c r="J49" s="493"/>
      <c r="K49" s="493"/>
      <c r="L49" s="493"/>
      <c r="M49" s="496" t="s">
        <v>83</v>
      </c>
      <c r="N49" s="487"/>
      <c r="O49" s="487"/>
      <c r="P49" s="487"/>
      <c r="Q49" s="497"/>
      <c r="R49" s="110"/>
      <c r="T49" s="36"/>
    </row>
    <row r="50" spans="1:20" ht="19.95" customHeight="1">
      <c r="A50" s="489"/>
      <c r="B50" s="490"/>
      <c r="C50" s="490"/>
      <c r="D50" s="490"/>
      <c r="E50" s="491"/>
      <c r="F50" s="494"/>
      <c r="G50" s="495"/>
      <c r="H50" s="495"/>
      <c r="I50" s="495"/>
      <c r="J50" s="495"/>
      <c r="K50" s="495"/>
      <c r="L50" s="495"/>
      <c r="M50" s="498"/>
      <c r="N50" s="490"/>
      <c r="O50" s="490"/>
      <c r="P50" s="490"/>
      <c r="Q50" s="499"/>
      <c r="R50" s="110"/>
      <c r="T50" s="36"/>
    </row>
    <row r="51" spans="1:20" ht="25.05" customHeight="1">
      <c r="A51" s="471" t="s">
        <v>84</v>
      </c>
      <c r="B51" s="472"/>
      <c r="C51" s="472"/>
      <c r="D51" s="472"/>
      <c r="E51" s="473"/>
      <c r="F51" s="474" t="s">
        <v>84</v>
      </c>
      <c r="G51" s="475"/>
      <c r="H51" s="475"/>
      <c r="I51" s="475"/>
      <c r="J51" s="475"/>
      <c r="K51" s="475"/>
      <c r="L51" s="476"/>
      <c r="M51" s="477" t="s">
        <v>84</v>
      </c>
      <c r="N51" s="472"/>
      <c r="O51" s="472"/>
      <c r="P51" s="472"/>
      <c r="Q51" s="478"/>
      <c r="R51" s="110"/>
      <c r="T51" s="36"/>
    </row>
    <row r="52" spans="1:20" ht="18" customHeight="1">
      <c r="A52" s="500"/>
      <c r="B52" s="501"/>
      <c r="C52" s="501"/>
      <c r="D52" s="501"/>
      <c r="E52" s="502"/>
      <c r="F52" s="505"/>
      <c r="G52" s="501"/>
      <c r="H52" s="501"/>
      <c r="I52" s="501"/>
      <c r="J52" s="501"/>
      <c r="K52" s="501"/>
      <c r="L52" s="502"/>
      <c r="M52" s="507"/>
      <c r="N52" s="508"/>
      <c r="O52" s="508"/>
      <c r="P52" s="508"/>
      <c r="Q52" s="509"/>
      <c r="T52" s="36"/>
    </row>
    <row r="53" spans="1:20" ht="18" customHeight="1">
      <c r="A53" s="503"/>
      <c r="B53" s="463"/>
      <c r="C53" s="463"/>
      <c r="D53" s="463"/>
      <c r="E53" s="504"/>
      <c r="F53" s="506"/>
      <c r="G53" s="463"/>
      <c r="H53" s="463"/>
      <c r="I53" s="463"/>
      <c r="J53" s="463"/>
      <c r="K53" s="463"/>
      <c r="L53" s="504"/>
      <c r="M53" s="510"/>
      <c r="N53" s="465"/>
      <c r="O53" s="465"/>
      <c r="P53" s="465"/>
      <c r="Q53" s="511"/>
      <c r="T53" s="36"/>
    </row>
    <row r="54" spans="1:20" ht="18" customHeight="1">
      <c r="A54" s="503"/>
      <c r="B54" s="463"/>
      <c r="C54" s="463"/>
      <c r="D54" s="463"/>
      <c r="E54" s="504"/>
      <c r="F54" s="506"/>
      <c r="G54" s="463"/>
      <c r="H54" s="463"/>
      <c r="I54" s="463"/>
      <c r="J54" s="463"/>
      <c r="K54" s="463"/>
      <c r="L54" s="504"/>
      <c r="M54" s="510"/>
      <c r="N54" s="465"/>
      <c r="O54" s="465"/>
      <c r="P54" s="465"/>
      <c r="Q54" s="511"/>
      <c r="T54" s="36"/>
    </row>
    <row r="55" spans="1:20" ht="18" customHeight="1">
      <c r="A55" s="489"/>
      <c r="B55" s="490"/>
      <c r="C55" s="490"/>
      <c r="D55" s="490"/>
      <c r="E55" s="491"/>
      <c r="F55" s="498"/>
      <c r="G55" s="490"/>
      <c r="H55" s="490"/>
      <c r="I55" s="490"/>
      <c r="J55" s="490"/>
      <c r="K55" s="490"/>
      <c r="L55" s="491"/>
      <c r="M55" s="512"/>
      <c r="N55" s="513"/>
      <c r="O55" s="513"/>
      <c r="P55" s="513"/>
      <c r="Q55" s="514"/>
      <c r="T55" s="36"/>
    </row>
    <row r="56" spans="1:20" ht="27" customHeight="1">
      <c r="A56" s="479" t="s">
        <v>340</v>
      </c>
      <c r="B56" s="480"/>
      <c r="C56" s="480"/>
      <c r="D56" s="480"/>
      <c r="E56" s="481"/>
      <c r="F56" s="341" t="s">
        <v>340</v>
      </c>
      <c r="G56" s="482"/>
      <c r="H56" s="482"/>
      <c r="I56" s="482"/>
      <c r="J56" s="482"/>
      <c r="K56" s="482"/>
      <c r="L56" s="314"/>
      <c r="M56" s="483" t="s">
        <v>340</v>
      </c>
      <c r="N56" s="484"/>
      <c r="O56" s="484"/>
      <c r="P56" s="484"/>
      <c r="Q56" s="485"/>
      <c r="T56" s="36"/>
    </row>
    <row r="57" spans="1:20">
      <c r="T57" s="36"/>
    </row>
    <row r="58" spans="1:20">
      <c r="T58" s="36"/>
    </row>
    <row r="59" spans="1:20">
      <c r="D59" s="423"/>
      <c r="E59" s="423"/>
      <c r="F59" s="423"/>
      <c r="G59" s="423"/>
      <c r="T59" s="36"/>
    </row>
    <row r="60" spans="1:20">
      <c r="B60" s="376"/>
      <c r="C60" s="376"/>
      <c r="D60" s="467"/>
      <c r="E60" s="467"/>
      <c r="F60" s="467"/>
      <c r="G60" s="467"/>
      <c r="T60" s="36"/>
    </row>
    <row r="61" spans="1:20">
      <c r="B61" s="376"/>
      <c r="C61" s="376"/>
      <c r="D61" s="467"/>
      <c r="E61" s="467"/>
      <c r="F61" s="470"/>
      <c r="G61" s="470"/>
      <c r="T61" s="36"/>
    </row>
    <row r="62" spans="1:20">
      <c r="B62" s="376"/>
      <c r="C62" s="376"/>
      <c r="D62" s="467"/>
      <c r="E62" s="467"/>
      <c r="F62" s="468"/>
      <c r="G62" s="468"/>
      <c r="T62" s="36"/>
    </row>
    <row r="63" spans="1:20">
      <c r="B63" s="376"/>
      <c r="C63" s="376"/>
      <c r="D63" s="467"/>
      <c r="E63" s="467"/>
      <c r="F63" s="467"/>
      <c r="G63" s="467"/>
      <c r="T63" s="36"/>
    </row>
    <row r="64" spans="1:20">
      <c r="B64" s="376"/>
      <c r="C64" s="376"/>
      <c r="D64" s="467"/>
      <c r="E64" s="467"/>
      <c r="F64" s="467"/>
      <c r="G64" s="467"/>
      <c r="T64" s="36"/>
    </row>
    <row r="65" spans="2:20">
      <c r="B65" s="376"/>
      <c r="C65" s="376"/>
      <c r="D65" s="467"/>
      <c r="E65" s="467"/>
      <c r="F65" s="468"/>
      <c r="G65" s="468"/>
      <c r="T65" s="36"/>
    </row>
    <row r="66" spans="2:20">
      <c r="B66" s="376"/>
      <c r="C66" s="376"/>
      <c r="D66" s="467"/>
      <c r="E66" s="467"/>
      <c r="F66" s="468"/>
      <c r="G66" s="468"/>
      <c r="T66" s="36"/>
    </row>
    <row r="67" spans="2:20">
      <c r="B67" s="376"/>
      <c r="C67" s="376"/>
      <c r="D67" s="467"/>
      <c r="E67" s="467"/>
      <c r="F67" s="468"/>
      <c r="G67" s="468"/>
    </row>
    <row r="68" spans="2:20">
      <c r="B68" s="376"/>
      <c r="C68" s="376"/>
      <c r="D68" s="467"/>
      <c r="E68" s="467"/>
      <c r="F68" s="469"/>
      <c r="G68" s="469"/>
    </row>
  </sheetData>
  <mergeCells count="165">
    <mergeCell ref="N1:Q1"/>
    <mergeCell ref="N2:Q2"/>
    <mergeCell ref="N3:Q3"/>
    <mergeCell ref="A5:B5"/>
    <mergeCell ref="C5:H5"/>
    <mergeCell ref="A6:B6"/>
    <mergeCell ref="C6:H6"/>
    <mergeCell ref="A7:B7"/>
    <mergeCell ref="C7:H7"/>
    <mergeCell ref="A8:B8"/>
    <mergeCell ref="C8:L8"/>
    <mergeCell ref="A10:B10"/>
    <mergeCell ref="C10:J10"/>
    <mergeCell ref="K10:Q10"/>
    <mergeCell ref="A11:B11"/>
    <mergeCell ref="C11:J11"/>
    <mergeCell ref="K11:Q11"/>
    <mergeCell ref="A12:B12"/>
    <mergeCell ref="C12:J12"/>
    <mergeCell ref="K12:Q12"/>
    <mergeCell ref="A13:B13"/>
    <mergeCell ref="C13:J13"/>
    <mergeCell ref="K13:Q13"/>
    <mergeCell ref="A15:H15"/>
    <mergeCell ref="J15:Q15"/>
    <mergeCell ref="C16:E16"/>
    <mergeCell ref="F16:H16"/>
    <mergeCell ref="J16:M16"/>
    <mergeCell ref="N16:Q16"/>
    <mergeCell ref="N25:O25"/>
    <mergeCell ref="B27:C27"/>
    <mergeCell ref="K27:L27"/>
    <mergeCell ref="B28:C28"/>
    <mergeCell ref="K28:L28"/>
    <mergeCell ref="C17:H17"/>
    <mergeCell ref="C18:E18"/>
    <mergeCell ref="F18:H18"/>
    <mergeCell ref="C19:D19"/>
    <mergeCell ref="C20:D20"/>
    <mergeCell ref="J20:Q20"/>
    <mergeCell ref="C21:D21"/>
    <mergeCell ref="J21:M21"/>
    <mergeCell ref="N21:Q21"/>
    <mergeCell ref="K29:L29"/>
    <mergeCell ref="B30:C30"/>
    <mergeCell ref="K30:L30"/>
    <mergeCell ref="B31:C31"/>
    <mergeCell ref="K31:L31"/>
    <mergeCell ref="B32:C32"/>
    <mergeCell ref="B33:C33"/>
    <mergeCell ref="B34:C34"/>
    <mergeCell ref="C22:D22"/>
    <mergeCell ref="C23:D23"/>
    <mergeCell ref="D24:E24"/>
    <mergeCell ref="G24:H24"/>
    <mergeCell ref="E25:F25"/>
    <mergeCell ref="B35:C35"/>
    <mergeCell ref="B36:C36"/>
    <mergeCell ref="K36:M36"/>
    <mergeCell ref="N36:O36"/>
    <mergeCell ref="P36:Q36"/>
    <mergeCell ref="B37:C37"/>
    <mergeCell ref="K37:M37"/>
    <mergeCell ref="N37:O37"/>
    <mergeCell ref="P37:Q37"/>
    <mergeCell ref="B38:C38"/>
    <mergeCell ref="K38:M38"/>
    <mergeCell ref="N38:O38"/>
    <mergeCell ref="P38:Q38"/>
    <mergeCell ref="B39:C39"/>
    <mergeCell ref="K39:M39"/>
    <mergeCell ref="N39:O39"/>
    <mergeCell ref="P39:Q39"/>
    <mergeCell ref="B40:C40"/>
    <mergeCell ref="K40:M40"/>
    <mergeCell ref="N40:O40"/>
    <mergeCell ref="P40:Q40"/>
    <mergeCell ref="B41:C41"/>
    <mergeCell ref="K41:M41"/>
    <mergeCell ref="N41:O41"/>
    <mergeCell ref="P41:Q41"/>
    <mergeCell ref="B42:C42"/>
    <mergeCell ref="B43:C43"/>
    <mergeCell ref="B44:C44"/>
    <mergeCell ref="B45:C45"/>
    <mergeCell ref="B46:C46"/>
    <mergeCell ref="M45:M46"/>
    <mergeCell ref="N43:O44"/>
    <mergeCell ref="P43:Q44"/>
    <mergeCell ref="J45:L46"/>
    <mergeCell ref="N45:O46"/>
    <mergeCell ref="P45:Q46"/>
    <mergeCell ref="M43:M44"/>
    <mergeCell ref="J43:L44"/>
    <mergeCell ref="M51:Q51"/>
    <mergeCell ref="A56:E56"/>
    <mergeCell ref="F56:L56"/>
    <mergeCell ref="M56:Q56"/>
    <mergeCell ref="D59:E59"/>
    <mergeCell ref="F59:G59"/>
    <mergeCell ref="M47:M48"/>
    <mergeCell ref="J47:L48"/>
    <mergeCell ref="N47:O48"/>
    <mergeCell ref="P47:Q48"/>
    <mergeCell ref="A49:E50"/>
    <mergeCell ref="F49:L50"/>
    <mergeCell ref="M49:Q50"/>
    <mergeCell ref="A52:E55"/>
    <mergeCell ref="F52:L55"/>
    <mergeCell ref="M52:Q55"/>
    <mergeCell ref="D61:E61"/>
    <mergeCell ref="F61:G61"/>
    <mergeCell ref="B62:C62"/>
    <mergeCell ref="D62:E62"/>
    <mergeCell ref="F62:G62"/>
    <mergeCell ref="B47:C47"/>
    <mergeCell ref="B48:C48"/>
    <mergeCell ref="A51:E51"/>
    <mergeCell ref="F51:L51"/>
    <mergeCell ref="B60:C60"/>
    <mergeCell ref="D60:E60"/>
    <mergeCell ref="F60:G60"/>
    <mergeCell ref="B61:C61"/>
    <mergeCell ref="B66:C66"/>
    <mergeCell ref="D66:E66"/>
    <mergeCell ref="F66:G66"/>
    <mergeCell ref="B67:C67"/>
    <mergeCell ref="D67:E67"/>
    <mergeCell ref="F67:G67"/>
    <mergeCell ref="B68:C68"/>
    <mergeCell ref="D68:E68"/>
    <mergeCell ref="F68:G68"/>
    <mergeCell ref="B63:C63"/>
    <mergeCell ref="D63:E63"/>
    <mergeCell ref="F63:G63"/>
    <mergeCell ref="B64:C64"/>
    <mergeCell ref="D64:E64"/>
    <mergeCell ref="F64:G64"/>
    <mergeCell ref="B65:C65"/>
    <mergeCell ref="D65:E65"/>
    <mergeCell ref="F65:G65"/>
    <mergeCell ref="N32:N34"/>
    <mergeCell ref="O32:O34"/>
    <mergeCell ref="P25:P26"/>
    <mergeCell ref="P32:P34"/>
    <mergeCell ref="Q25:Q26"/>
    <mergeCell ref="Q32:Q34"/>
    <mergeCell ref="A1:B3"/>
    <mergeCell ref="C1:M3"/>
    <mergeCell ref="J17:M18"/>
    <mergeCell ref="N17:Q18"/>
    <mergeCell ref="J22:M23"/>
    <mergeCell ref="N22:Q23"/>
    <mergeCell ref="B25:C26"/>
    <mergeCell ref="K25:L26"/>
    <mergeCell ref="K32:L34"/>
    <mergeCell ref="A25:A26"/>
    <mergeCell ref="D25:D26"/>
    <mergeCell ref="G25:G26"/>
    <mergeCell ref="H25:H26"/>
    <mergeCell ref="J25:J26"/>
    <mergeCell ref="J32:J34"/>
    <mergeCell ref="M25:M26"/>
    <mergeCell ref="M32:M34"/>
    <mergeCell ref="B29:C29"/>
  </mergeCells>
  <conditionalFormatting sqref="C22:C23">
    <cfRule type="duplicateValues" dxfId="71" priority="7" stopIfTrue="1"/>
    <cfRule type="duplicateValues" dxfId="70" priority="8" stopIfTrue="1"/>
    <cfRule type="duplicateValues" dxfId="69" priority="9" stopIfTrue="1"/>
    <cfRule type="duplicateValues" dxfId="68" priority="10" stopIfTrue="1"/>
    <cfRule type="duplicateValues" dxfId="67" priority="11" stopIfTrue="1"/>
    <cfRule type="duplicateValues" dxfId="66" priority="12" stopIfTrue="1"/>
  </conditionalFormatting>
  <conditionalFormatting sqref="C24">
    <cfRule type="duplicateValues" dxfId="65" priority="1" stopIfTrue="1"/>
    <cfRule type="duplicateValues" dxfId="64" priority="2" stopIfTrue="1"/>
    <cfRule type="duplicateValues" dxfId="63" priority="3" stopIfTrue="1"/>
    <cfRule type="duplicateValues" dxfId="62" priority="4" stopIfTrue="1"/>
    <cfRule type="duplicateValues" dxfId="61" priority="5" stopIfTrue="1"/>
    <cfRule type="duplicateValues" dxfId="60" priority="6" stopIfTrue="1"/>
  </conditionalFormatting>
  <printOptions horizontalCentered="1"/>
  <pageMargins left="0.23622047244094499" right="0.23622047244094499" top="0.74803149606299202" bottom="0.74803149606299202" header="0.31496062992126" footer="0.31496062992126"/>
  <pageSetup paperSize="9" scale="66" orientation="portrait" horizontalDpi="300" verticalDpi="30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  <pageSetUpPr fitToPage="1"/>
  </sheetPr>
  <dimension ref="A1:X45"/>
  <sheetViews>
    <sheetView showGridLines="0" view="pageBreakPreview" zoomScaleNormal="100" workbookViewId="0">
      <selection activeCell="C17" sqref="C17:E17"/>
    </sheetView>
  </sheetViews>
  <sheetFormatPr defaultColWidth="9" defaultRowHeight="13.8"/>
  <cols>
    <col min="1" max="1" width="3.5546875" style="26" customWidth="1"/>
    <col min="2" max="2" width="12.109375" style="26" customWidth="1"/>
    <col min="3" max="3" width="14.109375" style="26" customWidth="1"/>
    <col min="4" max="4" width="7.88671875" style="26" customWidth="1"/>
    <col min="5" max="5" width="6.77734375" style="26" customWidth="1"/>
    <col min="6" max="6" width="10.33203125" style="26" customWidth="1"/>
    <col min="7" max="7" width="12.21875" style="26" customWidth="1"/>
    <col min="8" max="8" width="1.88671875" style="26" customWidth="1"/>
    <col min="9" max="9" width="13.33203125" style="26" customWidth="1"/>
    <col min="10" max="10" width="6.21875" style="26" customWidth="1"/>
    <col min="11" max="11" width="9.88671875" style="26" customWidth="1"/>
    <col min="12" max="12" width="7.5546875" style="26" customWidth="1"/>
    <col min="13" max="13" width="9" style="26"/>
    <col min="14" max="14" width="16.21875" style="26" customWidth="1"/>
    <col min="15" max="15" width="29" style="26" customWidth="1"/>
    <col min="16" max="16" width="9.77734375" style="26" customWidth="1"/>
    <col min="17" max="16384" width="9" style="26"/>
  </cols>
  <sheetData>
    <row r="1" spans="1:24" ht="16.2" customHeight="1">
      <c r="A1" s="525"/>
      <c r="B1" s="526"/>
      <c r="C1" s="320" t="s">
        <v>85</v>
      </c>
      <c r="D1" s="320"/>
      <c r="E1" s="320"/>
      <c r="F1" s="320"/>
      <c r="G1" s="320"/>
      <c r="H1" s="320"/>
      <c r="I1" s="320"/>
      <c r="J1" s="582" t="s">
        <v>86</v>
      </c>
      <c r="K1" s="583"/>
      <c r="L1" s="584"/>
    </row>
    <row r="2" spans="1:24" ht="16.2" customHeight="1">
      <c r="A2" s="527"/>
      <c r="B2" s="528"/>
      <c r="C2" s="398"/>
      <c r="D2" s="398"/>
      <c r="E2" s="398"/>
      <c r="F2" s="398"/>
      <c r="G2" s="398"/>
      <c r="H2" s="398"/>
      <c r="I2" s="398"/>
      <c r="J2" s="585" t="s">
        <v>87</v>
      </c>
      <c r="K2" s="586"/>
      <c r="L2" s="587"/>
    </row>
    <row r="3" spans="1:24" ht="16.2" customHeight="1">
      <c r="A3" s="529"/>
      <c r="B3" s="530"/>
      <c r="C3" s="401"/>
      <c r="D3" s="401"/>
      <c r="E3" s="401"/>
      <c r="F3" s="401"/>
      <c r="G3" s="401"/>
      <c r="H3" s="401"/>
      <c r="I3" s="401"/>
      <c r="J3" s="588" t="s">
        <v>88</v>
      </c>
      <c r="K3" s="589"/>
      <c r="L3" s="590"/>
      <c r="N3" s="26" t="str">
        <f>[1]In!J5</f>
        <v>SX2311007</v>
      </c>
    </row>
    <row r="4" spans="1:24" ht="15" customHeight="1">
      <c r="A4" s="34"/>
    </row>
    <row r="5" spans="1:24" ht="15" customHeight="1">
      <c r="A5" s="83" t="s">
        <v>89</v>
      </c>
      <c r="C5" s="581">
        <f>In!C8</f>
        <v>0</v>
      </c>
      <c r="D5" s="581"/>
      <c r="E5" s="264"/>
      <c r="F5" s="264"/>
      <c r="G5" s="264"/>
      <c r="H5" s="264"/>
      <c r="I5" s="83" t="s">
        <v>3</v>
      </c>
      <c r="J5" s="267">
        <f>In!C9</f>
        <v>0</v>
      </c>
      <c r="K5" s="266"/>
      <c r="U5" s="26" t="s">
        <v>59</v>
      </c>
      <c r="V5" s="26" t="s">
        <v>60</v>
      </c>
      <c r="W5" s="26" t="s">
        <v>61</v>
      </c>
      <c r="X5" s="26" t="s">
        <v>62</v>
      </c>
    </row>
    <row r="6" spans="1:24" ht="15" customHeight="1">
      <c r="A6" s="83" t="s">
        <v>90</v>
      </c>
      <c r="C6" s="591">
        <f>In!C7</f>
        <v>0</v>
      </c>
      <c r="D6" s="591"/>
      <c r="E6" s="265"/>
      <c r="F6" s="265"/>
      <c r="G6" s="265"/>
      <c r="H6" s="264"/>
      <c r="I6" s="83" t="s">
        <v>91</v>
      </c>
      <c r="J6" s="268" t="s">
        <v>76</v>
      </c>
      <c r="K6" s="266"/>
    </row>
    <row r="7" spans="1:24" ht="15" customHeight="1">
      <c r="A7" s="83" t="s">
        <v>92</v>
      </c>
      <c r="C7" s="581">
        <f>In!C6</f>
        <v>0</v>
      </c>
      <c r="D7" s="581"/>
      <c r="E7" s="581"/>
      <c r="F7" s="581"/>
      <c r="G7" s="581"/>
      <c r="H7" s="581"/>
      <c r="I7" s="83" t="s">
        <v>93</v>
      </c>
      <c r="J7" s="174" t="s">
        <v>341</v>
      </c>
    </row>
    <row r="8" spans="1:24" ht="15" customHeight="1">
      <c r="A8" s="83" t="s">
        <v>94</v>
      </c>
      <c r="B8" s="36"/>
      <c r="C8" s="266">
        <f>In!C5</f>
        <v>0</v>
      </c>
      <c r="D8" s="266"/>
      <c r="E8" s="266"/>
      <c r="F8" s="266"/>
      <c r="G8" s="266"/>
      <c r="H8" s="266"/>
      <c r="I8" s="83" t="s">
        <v>95</v>
      </c>
      <c r="J8" s="174" t="s">
        <v>341</v>
      </c>
    </row>
    <row r="9" spans="1:24" ht="15" customHeight="1">
      <c r="A9" s="83"/>
      <c r="B9" s="36"/>
      <c r="I9" s="36"/>
    </row>
    <row r="10" spans="1:24" ht="15" customHeight="1">
      <c r="A10" s="444"/>
      <c r="B10" s="445"/>
      <c r="C10" s="385" t="s">
        <v>96</v>
      </c>
      <c r="D10" s="385"/>
      <c r="E10" s="385"/>
      <c r="F10" s="385"/>
      <c r="G10" s="385"/>
      <c r="H10" s="385" t="s">
        <v>97</v>
      </c>
      <c r="I10" s="385"/>
      <c r="J10" s="385"/>
      <c r="K10" s="385"/>
      <c r="L10" s="305"/>
    </row>
    <row r="11" spans="1:24" ht="15" customHeight="1">
      <c r="A11" s="579" t="s">
        <v>98</v>
      </c>
      <c r="B11" s="331"/>
      <c r="C11" s="366" t="s">
        <v>313</v>
      </c>
      <c r="D11" s="366"/>
      <c r="E11" s="366"/>
      <c r="F11" s="366"/>
      <c r="G11" s="366"/>
      <c r="H11" s="366" t="s">
        <v>313</v>
      </c>
      <c r="I11" s="366"/>
      <c r="J11" s="366"/>
      <c r="K11" s="366"/>
      <c r="L11" s="544"/>
    </row>
    <row r="12" spans="1:24" ht="15" customHeight="1">
      <c r="A12" s="579" t="s">
        <v>99</v>
      </c>
      <c r="B12" s="331"/>
      <c r="C12" s="366" t="s">
        <v>100</v>
      </c>
      <c r="D12" s="366"/>
      <c r="E12" s="366"/>
      <c r="F12" s="366"/>
      <c r="G12" s="366"/>
      <c r="H12" s="366" t="s">
        <v>314</v>
      </c>
      <c r="I12" s="366"/>
      <c r="J12" s="366"/>
      <c r="K12" s="366"/>
      <c r="L12" s="544"/>
    </row>
    <row r="13" spans="1:24" ht="15" customHeight="1">
      <c r="A13" s="580" t="s">
        <v>101</v>
      </c>
      <c r="B13" s="333"/>
      <c r="C13" s="350"/>
      <c r="D13" s="350"/>
      <c r="E13" s="350"/>
      <c r="F13" s="350"/>
      <c r="G13" s="350"/>
      <c r="H13" s="563"/>
      <c r="I13" s="563"/>
      <c r="J13" s="563"/>
      <c r="K13" s="563"/>
      <c r="L13" s="306"/>
    </row>
    <row r="14" spans="1:24" ht="12" customHeight="1">
      <c r="A14" s="36"/>
      <c r="B14" s="36"/>
      <c r="C14" s="36"/>
      <c r="D14" s="36"/>
      <c r="E14" s="36"/>
      <c r="H14" s="36"/>
      <c r="J14" s="36"/>
    </row>
    <row r="15" spans="1:24" ht="19.05" customHeight="1">
      <c r="A15" s="575" t="s">
        <v>102</v>
      </c>
      <c r="B15" s="576"/>
      <c r="C15" s="576"/>
      <c r="D15" s="576"/>
      <c r="E15" s="576"/>
      <c r="F15" s="576"/>
      <c r="G15" s="577"/>
      <c r="I15" s="384" t="s">
        <v>103</v>
      </c>
      <c r="J15" s="385"/>
      <c r="K15" s="385"/>
      <c r="L15" s="305"/>
    </row>
    <row r="16" spans="1:24" ht="16.95" customHeight="1">
      <c r="A16" s="566" t="s">
        <v>104</v>
      </c>
      <c r="B16" s="567"/>
      <c r="C16" s="352" t="str">
        <f>'In 1'!C16</f>
        <v>Bao OPP</v>
      </c>
      <c r="D16" s="352"/>
      <c r="E16" s="352"/>
      <c r="F16" s="352"/>
      <c r="G16" s="578"/>
      <c r="I16" s="541" t="s">
        <v>105</v>
      </c>
      <c r="J16" s="542"/>
      <c r="K16" s="542" t="s">
        <v>106</v>
      </c>
      <c r="L16" s="543"/>
    </row>
    <row r="17" spans="1:14" ht="16.95" customHeight="1">
      <c r="A17" s="566" t="s">
        <v>107</v>
      </c>
      <c r="B17" s="567"/>
      <c r="C17" s="568">
        <f>'In 1'!C17</f>
        <v>0</v>
      </c>
      <c r="D17" s="568"/>
      <c r="E17" s="568"/>
      <c r="F17" s="416" t="s">
        <v>108</v>
      </c>
      <c r="G17" s="569"/>
      <c r="I17" s="503"/>
      <c r="J17" s="504"/>
      <c r="K17" s="506"/>
      <c r="L17" s="533"/>
    </row>
    <row r="18" spans="1:14" ht="16.95" customHeight="1">
      <c r="A18" s="566" t="s">
        <v>109</v>
      </c>
      <c r="B18" s="567"/>
      <c r="C18" s="568">
        <f>'In 1'!C18</f>
        <v>0</v>
      </c>
      <c r="D18" s="568"/>
      <c r="E18" s="568"/>
      <c r="F18" s="416" t="s">
        <v>108</v>
      </c>
      <c r="G18" s="569"/>
      <c r="I18" s="503"/>
      <c r="J18" s="504"/>
      <c r="K18" s="506"/>
      <c r="L18" s="533"/>
    </row>
    <row r="19" spans="1:14" ht="16.95" customHeight="1">
      <c r="A19" s="566" t="s">
        <v>110</v>
      </c>
      <c r="B19" s="567"/>
      <c r="C19" s="568">
        <f>In!M6</f>
        <v>0</v>
      </c>
      <c r="D19" s="568"/>
      <c r="E19" s="568"/>
      <c r="F19" s="416" t="s">
        <v>12</v>
      </c>
      <c r="G19" s="569"/>
      <c r="I19" s="503"/>
      <c r="J19" s="504"/>
      <c r="K19" s="506"/>
      <c r="L19" s="533"/>
    </row>
    <row r="20" spans="1:14" ht="16.95" customHeight="1">
      <c r="A20" s="570" t="s">
        <v>111</v>
      </c>
      <c r="B20" s="571"/>
      <c r="C20" s="572">
        <f>C19</f>
        <v>0</v>
      </c>
      <c r="D20" s="572"/>
      <c r="E20" s="572"/>
      <c r="F20" s="573" t="s">
        <v>12</v>
      </c>
      <c r="G20" s="574"/>
      <c r="I20" s="531"/>
      <c r="J20" s="532"/>
      <c r="K20" s="534"/>
      <c r="L20" s="535"/>
    </row>
    <row r="21" spans="1:14" ht="12" customHeight="1">
      <c r="A21" s="423"/>
      <c r="B21" s="423"/>
      <c r="E21" s="423"/>
      <c r="F21" s="423"/>
      <c r="G21" s="423"/>
      <c r="H21" s="423"/>
      <c r="N21" s="191"/>
    </row>
    <row r="22" spans="1:14">
      <c r="A22" s="384" t="s">
        <v>112</v>
      </c>
      <c r="B22" s="385"/>
      <c r="C22" s="106" t="s">
        <v>113</v>
      </c>
      <c r="D22" s="385" t="s">
        <v>114</v>
      </c>
      <c r="E22" s="385"/>
      <c r="F22" s="385"/>
      <c r="G22" s="385" t="s">
        <v>115</v>
      </c>
      <c r="H22" s="556"/>
      <c r="I22" s="348" t="s">
        <v>116</v>
      </c>
      <c r="J22" s="348"/>
      <c r="K22" s="348"/>
      <c r="L22" s="557"/>
    </row>
    <row r="23" spans="1:14" ht="19.95" customHeight="1">
      <c r="A23" s="536" t="s">
        <v>117</v>
      </c>
      <c r="B23" s="373"/>
      <c r="C23" s="45"/>
      <c r="D23" s="542"/>
      <c r="E23" s="542"/>
      <c r="F23" s="542"/>
      <c r="G23" s="542"/>
      <c r="H23" s="546"/>
      <c r="I23" s="528"/>
      <c r="J23" s="528"/>
      <c r="K23" s="528"/>
      <c r="L23" s="547"/>
    </row>
    <row r="24" spans="1:14" ht="19.95" customHeight="1">
      <c r="A24" s="537"/>
      <c r="B24" s="538"/>
      <c r="C24" s="45"/>
      <c r="D24" s="542"/>
      <c r="E24" s="542"/>
      <c r="F24" s="542"/>
      <c r="G24" s="542"/>
      <c r="H24" s="546"/>
      <c r="I24" s="528"/>
      <c r="J24" s="528"/>
      <c r="K24" s="528"/>
      <c r="L24" s="547"/>
    </row>
    <row r="25" spans="1:14" ht="19.95" customHeight="1">
      <c r="A25" s="537"/>
      <c r="B25" s="538"/>
      <c r="C25" s="45"/>
      <c r="D25" s="542"/>
      <c r="E25" s="542"/>
      <c r="F25" s="542"/>
      <c r="G25" s="542"/>
      <c r="H25" s="546"/>
      <c r="I25" s="528"/>
      <c r="J25" s="528"/>
      <c r="K25" s="528"/>
      <c r="L25" s="547"/>
    </row>
    <row r="26" spans="1:14" ht="19.95" customHeight="1">
      <c r="A26" s="537"/>
      <c r="B26" s="538"/>
      <c r="C26" s="45"/>
      <c r="D26" s="542"/>
      <c r="E26" s="542"/>
      <c r="F26" s="542"/>
      <c r="G26" s="542"/>
      <c r="H26" s="546"/>
      <c r="I26" s="528"/>
      <c r="J26" s="528"/>
      <c r="K26" s="528"/>
      <c r="L26" s="547"/>
    </row>
    <row r="27" spans="1:14" ht="19.95" customHeight="1">
      <c r="A27" s="537"/>
      <c r="B27" s="538"/>
      <c r="C27" s="103"/>
      <c r="D27" s="563"/>
      <c r="E27" s="563"/>
      <c r="F27" s="563"/>
      <c r="G27" s="563"/>
      <c r="H27" s="564"/>
      <c r="I27" s="530"/>
      <c r="J27" s="530"/>
      <c r="K27" s="530"/>
      <c r="L27" s="565"/>
    </row>
    <row r="28" spans="1:14" ht="12" hidden="1" customHeight="1">
      <c r="A28" s="423"/>
      <c r="B28" s="423"/>
      <c r="E28" s="423"/>
      <c r="F28" s="423"/>
      <c r="G28" s="423"/>
      <c r="H28" s="423"/>
    </row>
    <row r="29" spans="1:14">
      <c r="A29" s="384" t="s">
        <v>112</v>
      </c>
      <c r="B29" s="385"/>
      <c r="C29" s="106" t="s">
        <v>113</v>
      </c>
      <c r="D29" s="385" t="s">
        <v>114</v>
      </c>
      <c r="E29" s="385"/>
      <c r="F29" s="385"/>
      <c r="G29" s="385" t="s">
        <v>115</v>
      </c>
      <c r="H29" s="556"/>
      <c r="I29" s="348" t="s">
        <v>116</v>
      </c>
      <c r="J29" s="348"/>
      <c r="K29" s="348"/>
      <c r="L29" s="557"/>
    </row>
    <row r="30" spans="1:14" ht="19.95" customHeight="1">
      <c r="A30" s="536" t="s">
        <v>118</v>
      </c>
      <c r="B30" s="373"/>
      <c r="C30" s="45"/>
      <c r="D30" s="542"/>
      <c r="E30" s="542"/>
      <c r="F30" s="542"/>
      <c r="G30" s="542"/>
      <c r="H30" s="546"/>
      <c r="I30" s="528"/>
      <c r="J30" s="528"/>
      <c r="K30" s="528"/>
      <c r="L30" s="547"/>
    </row>
    <row r="31" spans="1:14" ht="19.95" customHeight="1">
      <c r="A31" s="537"/>
      <c r="B31" s="538"/>
      <c r="C31" s="45"/>
      <c r="D31" s="542"/>
      <c r="E31" s="542"/>
      <c r="F31" s="542"/>
      <c r="G31" s="542"/>
      <c r="H31" s="546"/>
      <c r="I31" s="528"/>
      <c r="J31" s="528"/>
      <c r="K31" s="528"/>
      <c r="L31" s="547"/>
    </row>
    <row r="32" spans="1:14" ht="19.95" customHeight="1">
      <c r="A32" s="537"/>
      <c r="B32" s="538"/>
      <c r="C32" s="45"/>
      <c r="D32" s="542"/>
      <c r="E32" s="542"/>
      <c r="F32" s="542"/>
      <c r="G32" s="542"/>
      <c r="H32" s="546"/>
      <c r="I32" s="528"/>
      <c r="J32" s="528"/>
      <c r="K32" s="528"/>
      <c r="L32" s="547"/>
    </row>
    <row r="33" spans="1:12" ht="19.95" customHeight="1">
      <c r="A33" s="537"/>
      <c r="B33" s="538"/>
      <c r="C33" s="45"/>
      <c r="D33" s="542"/>
      <c r="E33" s="542"/>
      <c r="F33" s="542"/>
      <c r="G33" s="542"/>
      <c r="H33" s="546"/>
      <c r="I33" s="528"/>
      <c r="J33" s="528"/>
      <c r="K33" s="528"/>
      <c r="L33" s="547"/>
    </row>
    <row r="34" spans="1:12" ht="19.95" customHeight="1">
      <c r="A34" s="539"/>
      <c r="B34" s="540"/>
      <c r="C34" s="177"/>
      <c r="D34" s="548"/>
      <c r="E34" s="548"/>
      <c r="F34" s="548"/>
      <c r="G34" s="548"/>
      <c r="H34" s="549"/>
      <c r="I34" s="550"/>
      <c r="J34" s="551"/>
      <c r="K34" s="551"/>
      <c r="L34" s="552"/>
    </row>
    <row r="35" spans="1:12" ht="19.95" customHeight="1">
      <c r="A35" s="558" t="s">
        <v>119</v>
      </c>
      <c r="B35" s="559"/>
      <c r="C35" s="559"/>
      <c r="D35" s="559"/>
      <c r="E35" s="559"/>
      <c r="F35" s="559"/>
      <c r="G35" s="559"/>
      <c r="H35" s="559"/>
      <c r="I35" s="560"/>
      <c r="J35" s="561"/>
      <c r="K35" s="561"/>
      <c r="L35" s="562"/>
    </row>
    <row r="36" spans="1:12" ht="12" customHeight="1">
      <c r="A36" s="423"/>
      <c r="B36" s="423"/>
      <c r="D36" s="463"/>
      <c r="E36" s="463"/>
      <c r="F36" s="463"/>
      <c r="G36" s="463"/>
      <c r="H36" s="517"/>
      <c r="I36" s="395"/>
      <c r="J36" s="395"/>
      <c r="K36" s="395"/>
      <c r="L36" s="395"/>
    </row>
    <row r="37" spans="1:12">
      <c r="A37" s="486" t="s">
        <v>116</v>
      </c>
      <c r="B37" s="487"/>
      <c r="C37" s="487"/>
      <c r="D37" s="487"/>
      <c r="E37" s="487"/>
      <c r="F37" s="487"/>
      <c r="G37" s="497"/>
      <c r="H37" s="34"/>
      <c r="I37" s="318" t="s">
        <v>120</v>
      </c>
      <c r="J37" s="385"/>
      <c r="K37" s="320" t="s">
        <v>121</v>
      </c>
      <c r="L37" s="305"/>
    </row>
    <row r="38" spans="1:12" ht="16.05" customHeight="1">
      <c r="A38" s="503"/>
      <c r="B38" s="463"/>
      <c r="C38" s="463"/>
      <c r="D38" s="463"/>
      <c r="E38" s="463"/>
      <c r="F38" s="463"/>
      <c r="G38" s="533"/>
      <c r="H38" s="34"/>
      <c r="I38" s="541"/>
      <c r="J38" s="542"/>
      <c r="K38" s="542"/>
      <c r="L38" s="543"/>
    </row>
    <row r="39" spans="1:12" ht="19.05" customHeight="1">
      <c r="A39" s="553"/>
      <c r="B39" s="554"/>
      <c r="C39" s="554"/>
      <c r="D39" s="554"/>
      <c r="E39" s="554"/>
      <c r="F39" s="554"/>
      <c r="G39" s="555"/>
      <c r="I39" s="365"/>
      <c r="J39" s="366"/>
      <c r="K39" s="366"/>
      <c r="L39" s="544"/>
    </row>
    <row r="40" spans="1:12" ht="19.05" customHeight="1">
      <c r="A40" s="522"/>
      <c r="B40" s="523"/>
      <c r="C40" s="523"/>
      <c r="D40" s="523"/>
      <c r="E40" s="523"/>
      <c r="F40" s="523"/>
      <c r="G40" s="524"/>
      <c r="I40" s="365"/>
      <c r="J40" s="366"/>
      <c r="K40" s="366"/>
      <c r="L40" s="544"/>
    </row>
    <row r="41" spans="1:12" ht="19.05" customHeight="1">
      <c r="A41" s="178"/>
      <c r="B41" s="179"/>
      <c r="C41" s="179"/>
      <c r="D41" s="179"/>
      <c r="E41" s="179"/>
      <c r="F41" s="179"/>
      <c r="G41" s="180"/>
      <c r="I41" s="349"/>
      <c r="J41" s="350"/>
      <c r="K41" s="350"/>
      <c r="L41" s="545"/>
    </row>
    <row r="42" spans="1:12" ht="16.05" customHeight="1"/>
    <row r="43" spans="1:12" ht="16.05" customHeight="1"/>
    <row r="44" spans="1:12" ht="16.05" customHeight="1"/>
    <row r="45" spans="1:12">
      <c r="H45" s="36"/>
    </row>
  </sheetData>
  <mergeCells count="100">
    <mergeCell ref="J1:L1"/>
    <mergeCell ref="J2:L2"/>
    <mergeCell ref="J3:L3"/>
    <mergeCell ref="C5:D5"/>
    <mergeCell ref="C6:D6"/>
    <mergeCell ref="C7:H7"/>
    <mergeCell ref="A10:B10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  <mergeCell ref="H13:L13"/>
    <mergeCell ref="A15:G15"/>
    <mergeCell ref="I15:L15"/>
    <mergeCell ref="A16:B16"/>
    <mergeCell ref="C16:G16"/>
    <mergeCell ref="I16:J16"/>
    <mergeCell ref="K16:L16"/>
    <mergeCell ref="A17:B17"/>
    <mergeCell ref="C17:E17"/>
    <mergeCell ref="F17:G17"/>
    <mergeCell ref="A18:B18"/>
    <mergeCell ref="C18:E18"/>
    <mergeCell ref="F18:G18"/>
    <mergeCell ref="A19:B19"/>
    <mergeCell ref="C19:E19"/>
    <mergeCell ref="F19:G19"/>
    <mergeCell ref="A20:B20"/>
    <mergeCell ref="C20:E20"/>
    <mergeCell ref="F20:G20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D24:F24"/>
    <mergeCell ref="G24:H24"/>
    <mergeCell ref="I24:L24"/>
    <mergeCell ref="D25:F25"/>
    <mergeCell ref="G25:H25"/>
    <mergeCell ref="I25:L25"/>
    <mergeCell ref="D26:F26"/>
    <mergeCell ref="G26:H26"/>
    <mergeCell ref="I26:L26"/>
    <mergeCell ref="I32:L32"/>
    <mergeCell ref="D27:F27"/>
    <mergeCell ref="G27:H27"/>
    <mergeCell ref="I27:L27"/>
    <mergeCell ref="A28:B28"/>
    <mergeCell ref="E28:F28"/>
    <mergeCell ref="G28:H28"/>
    <mergeCell ref="A39:G39"/>
    <mergeCell ref="A29:B29"/>
    <mergeCell ref="D29:F29"/>
    <mergeCell ref="G29:H29"/>
    <mergeCell ref="I29:L29"/>
    <mergeCell ref="A35:F35"/>
    <mergeCell ref="G35:H35"/>
    <mergeCell ref="I35:L35"/>
    <mergeCell ref="D30:F30"/>
    <mergeCell ref="G30:H30"/>
    <mergeCell ref="I30:L30"/>
    <mergeCell ref="D31:F31"/>
    <mergeCell ref="G31:H31"/>
    <mergeCell ref="I31:L31"/>
    <mergeCell ref="D32:F32"/>
    <mergeCell ref="G32:H32"/>
    <mergeCell ref="A36:B36"/>
    <mergeCell ref="D36:F36"/>
    <mergeCell ref="G36:H36"/>
    <mergeCell ref="I36:L36"/>
    <mergeCell ref="G34:H34"/>
    <mergeCell ref="I34:L34"/>
    <mergeCell ref="A40:G40"/>
    <mergeCell ref="A1:B3"/>
    <mergeCell ref="C1:I3"/>
    <mergeCell ref="I17:J20"/>
    <mergeCell ref="K17:L20"/>
    <mergeCell ref="A23:B27"/>
    <mergeCell ref="A30:B34"/>
    <mergeCell ref="A37:G38"/>
    <mergeCell ref="I37:J38"/>
    <mergeCell ref="K37:L38"/>
    <mergeCell ref="I39:J41"/>
    <mergeCell ref="K39:L41"/>
    <mergeCell ref="D33:F33"/>
    <mergeCell ref="G33:H33"/>
    <mergeCell ref="I33:L33"/>
    <mergeCell ref="D34:F34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FF00"/>
    <pageSetUpPr fitToPage="1"/>
  </sheetPr>
  <dimension ref="A1:X45"/>
  <sheetViews>
    <sheetView showGridLines="0" view="pageBreakPreview" zoomScaleNormal="100" workbookViewId="0">
      <selection activeCell="C16" sqref="C16:G16"/>
    </sheetView>
  </sheetViews>
  <sheetFormatPr defaultColWidth="9" defaultRowHeight="13.8"/>
  <cols>
    <col min="1" max="1" width="3.5546875" style="26" customWidth="1"/>
    <col min="2" max="2" width="12.109375" style="26" customWidth="1"/>
    <col min="3" max="3" width="14.109375" style="26" customWidth="1"/>
    <col min="4" max="4" width="7.88671875" style="26" customWidth="1"/>
    <col min="5" max="5" width="6.77734375" style="26" customWidth="1"/>
    <col min="6" max="6" width="10.33203125" style="26" customWidth="1"/>
    <col min="7" max="7" width="12.21875" style="26" customWidth="1"/>
    <col min="8" max="8" width="1.88671875" style="26" customWidth="1"/>
    <col min="9" max="9" width="13.33203125" style="26" customWidth="1"/>
    <col min="10" max="10" width="6.21875" style="26" customWidth="1"/>
    <col min="11" max="11" width="9.88671875" style="26" customWidth="1"/>
    <col min="12" max="12" width="7.5546875" style="26" customWidth="1"/>
    <col min="13" max="13" width="9" style="26"/>
    <col min="14" max="14" width="16.21875" style="26" customWidth="1"/>
    <col min="15" max="15" width="29" style="26" customWidth="1"/>
    <col min="16" max="16" width="9.77734375" style="26" customWidth="1"/>
    <col min="17" max="16384" width="9" style="26"/>
  </cols>
  <sheetData>
    <row r="1" spans="1:24" ht="16.2" customHeight="1">
      <c r="A1" s="525"/>
      <c r="B1" s="526"/>
      <c r="C1" s="320" t="s">
        <v>85</v>
      </c>
      <c r="D1" s="320"/>
      <c r="E1" s="320"/>
      <c r="F1" s="320"/>
      <c r="G1" s="320"/>
      <c r="H1" s="320"/>
      <c r="I1" s="320"/>
      <c r="J1" s="582" t="s">
        <v>86</v>
      </c>
      <c r="K1" s="583"/>
      <c r="L1" s="584"/>
    </row>
    <row r="2" spans="1:24" ht="16.2" customHeight="1">
      <c r="A2" s="527"/>
      <c r="B2" s="528"/>
      <c r="C2" s="398"/>
      <c r="D2" s="398"/>
      <c r="E2" s="398"/>
      <c r="F2" s="398"/>
      <c r="G2" s="398"/>
      <c r="H2" s="398"/>
      <c r="I2" s="398"/>
      <c r="J2" s="585" t="s">
        <v>87</v>
      </c>
      <c r="K2" s="586"/>
      <c r="L2" s="587"/>
      <c r="N2" s="26" t="str">
        <f>[1]In!J5</f>
        <v>SX2311007</v>
      </c>
    </row>
    <row r="3" spans="1:24" ht="16.2" customHeight="1">
      <c r="A3" s="529"/>
      <c r="B3" s="530"/>
      <c r="C3" s="401"/>
      <c r="D3" s="401"/>
      <c r="E3" s="401"/>
      <c r="F3" s="401"/>
      <c r="G3" s="401"/>
      <c r="H3" s="401"/>
      <c r="I3" s="401"/>
      <c r="J3" s="588" t="s">
        <v>88</v>
      </c>
      <c r="K3" s="589"/>
      <c r="L3" s="590"/>
    </row>
    <row r="4" spans="1:24" ht="15" customHeight="1">
      <c r="A4" s="34"/>
    </row>
    <row r="5" spans="1:24" ht="15" customHeight="1">
      <c r="A5" s="83" t="s">
        <v>89</v>
      </c>
      <c r="C5" s="581">
        <f>In!C8</f>
        <v>0</v>
      </c>
      <c r="D5" s="581"/>
      <c r="E5" s="264"/>
      <c r="F5" s="264"/>
      <c r="G5" s="264"/>
      <c r="H5" s="264"/>
      <c r="I5" s="83" t="s">
        <v>3</v>
      </c>
      <c r="J5" s="267">
        <f>In!C9</f>
        <v>0</v>
      </c>
      <c r="K5" s="266"/>
      <c r="U5" s="26" t="s">
        <v>59</v>
      </c>
      <c r="V5" s="26" t="s">
        <v>60</v>
      </c>
      <c r="W5" s="26" t="s">
        <v>61</v>
      </c>
      <c r="X5" s="26" t="s">
        <v>62</v>
      </c>
    </row>
    <row r="6" spans="1:24" ht="15" customHeight="1">
      <c r="A6" s="83" t="s">
        <v>90</v>
      </c>
      <c r="C6" s="591">
        <f>In!C7</f>
        <v>0</v>
      </c>
      <c r="D6" s="591"/>
      <c r="E6" s="265"/>
      <c r="F6" s="265"/>
      <c r="G6" s="265"/>
      <c r="H6" s="264"/>
      <c r="I6" s="83" t="s">
        <v>91</v>
      </c>
      <c r="J6" s="268" t="s">
        <v>76</v>
      </c>
      <c r="K6" s="266"/>
    </row>
    <row r="7" spans="1:24" ht="15" customHeight="1">
      <c r="A7" s="83" t="s">
        <v>92</v>
      </c>
      <c r="C7" s="581">
        <f>In!C6</f>
        <v>0</v>
      </c>
      <c r="D7" s="581"/>
      <c r="E7" s="581"/>
      <c r="F7" s="581"/>
      <c r="G7" s="581"/>
      <c r="H7" s="581"/>
      <c r="I7" s="83" t="s">
        <v>93</v>
      </c>
      <c r="J7" s="174" t="s">
        <v>341</v>
      </c>
    </row>
    <row r="8" spans="1:24" ht="15" customHeight="1">
      <c r="A8" s="83" t="s">
        <v>94</v>
      </c>
      <c r="B8" s="36"/>
      <c r="C8" s="266">
        <f>In!C5</f>
        <v>0</v>
      </c>
      <c r="D8" s="266"/>
      <c r="E8" s="266"/>
      <c r="F8" s="266"/>
      <c r="G8" s="266"/>
      <c r="H8" s="266"/>
      <c r="I8" s="83" t="s">
        <v>95</v>
      </c>
      <c r="J8" s="174" t="s">
        <v>341</v>
      </c>
    </row>
    <row r="9" spans="1:24" ht="15" customHeight="1">
      <c r="A9" s="83"/>
      <c r="B9" s="36"/>
      <c r="I9" s="36"/>
    </row>
    <row r="10" spans="1:24" ht="15" customHeight="1">
      <c r="A10" s="444"/>
      <c r="B10" s="445"/>
      <c r="C10" s="385" t="s">
        <v>96</v>
      </c>
      <c r="D10" s="385"/>
      <c r="E10" s="385"/>
      <c r="F10" s="385"/>
      <c r="G10" s="385"/>
      <c r="H10" s="385" t="s">
        <v>97</v>
      </c>
      <c r="I10" s="385"/>
      <c r="J10" s="385"/>
      <c r="K10" s="385"/>
      <c r="L10" s="305"/>
    </row>
    <row r="11" spans="1:24" ht="15" customHeight="1">
      <c r="A11" s="579" t="s">
        <v>98</v>
      </c>
      <c r="B11" s="331"/>
      <c r="C11" s="366" t="s">
        <v>313</v>
      </c>
      <c r="D11" s="366"/>
      <c r="E11" s="366"/>
      <c r="F11" s="366"/>
      <c r="G11" s="366"/>
      <c r="H11" s="366" t="s">
        <v>313</v>
      </c>
      <c r="I11" s="366"/>
      <c r="J11" s="366"/>
      <c r="K11" s="366"/>
      <c r="L11" s="544"/>
    </row>
    <row r="12" spans="1:24" ht="15" customHeight="1">
      <c r="A12" s="579" t="s">
        <v>99</v>
      </c>
      <c r="B12" s="331"/>
      <c r="C12" s="366" t="s">
        <v>100</v>
      </c>
      <c r="D12" s="366"/>
      <c r="E12" s="366"/>
      <c r="F12" s="366"/>
      <c r="G12" s="366"/>
      <c r="H12" s="366" t="s">
        <v>314</v>
      </c>
      <c r="I12" s="366"/>
      <c r="J12" s="366"/>
      <c r="K12" s="366"/>
      <c r="L12" s="544"/>
    </row>
    <row r="13" spans="1:24" ht="15" customHeight="1">
      <c r="A13" s="580" t="s">
        <v>101</v>
      </c>
      <c r="B13" s="333"/>
      <c r="C13" s="350"/>
      <c r="D13" s="350"/>
      <c r="E13" s="350"/>
      <c r="F13" s="350"/>
      <c r="G13" s="350"/>
      <c r="H13" s="563"/>
      <c r="I13" s="563"/>
      <c r="J13" s="563"/>
      <c r="K13" s="563"/>
      <c r="L13" s="306"/>
    </row>
    <row r="14" spans="1:24" ht="12" customHeight="1">
      <c r="A14" s="36"/>
      <c r="B14" s="36"/>
      <c r="C14" s="36"/>
      <c r="D14" s="36"/>
      <c r="E14" s="36"/>
      <c r="H14" s="36"/>
      <c r="J14" s="36"/>
    </row>
    <row r="15" spans="1:24" ht="19.05" customHeight="1">
      <c r="A15" s="575" t="s">
        <v>122</v>
      </c>
      <c r="B15" s="576"/>
      <c r="C15" s="576"/>
      <c r="D15" s="576"/>
      <c r="E15" s="576"/>
      <c r="F15" s="576"/>
      <c r="G15" s="577"/>
      <c r="I15" s="384" t="s">
        <v>103</v>
      </c>
      <c r="J15" s="385"/>
      <c r="K15" s="385"/>
      <c r="L15" s="305"/>
    </row>
    <row r="16" spans="1:24" ht="16.95" customHeight="1">
      <c r="A16" s="592" t="s">
        <v>104</v>
      </c>
      <c r="B16" s="593"/>
      <c r="C16" s="352" t="str">
        <f>'In 1'!C16</f>
        <v>Bao OPP</v>
      </c>
      <c r="D16" s="352"/>
      <c r="E16" s="352"/>
      <c r="F16" s="352"/>
      <c r="G16" s="578"/>
      <c r="I16" s="541" t="s">
        <v>105</v>
      </c>
      <c r="J16" s="542"/>
      <c r="K16" s="542" t="s">
        <v>106</v>
      </c>
      <c r="L16" s="543"/>
    </row>
    <row r="17" spans="1:14" ht="16.95" customHeight="1">
      <c r="A17" s="592" t="s">
        <v>107</v>
      </c>
      <c r="B17" s="593"/>
      <c r="C17" s="568">
        <f>'In 1'!C17</f>
        <v>0</v>
      </c>
      <c r="D17" s="568"/>
      <c r="E17" s="568"/>
      <c r="F17" s="416" t="s">
        <v>108</v>
      </c>
      <c r="G17" s="569"/>
      <c r="I17" s="503"/>
      <c r="J17" s="504"/>
      <c r="K17" s="506"/>
      <c r="L17" s="533"/>
    </row>
    <row r="18" spans="1:14" ht="16.95" customHeight="1">
      <c r="A18" s="592" t="s">
        <v>109</v>
      </c>
      <c r="B18" s="593"/>
      <c r="C18" s="568">
        <f>'In 1'!C18</f>
        <v>0</v>
      </c>
      <c r="D18" s="568"/>
      <c r="E18" s="568"/>
      <c r="F18" s="416" t="s">
        <v>108</v>
      </c>
      <c r="G18" s="569"/>
      <c r="I18" s="503"/>
      <c r="J18" s="504"/>
      <c r="K18" s="506"/>
      <c r="L18" s="533"/>
    </row>
    <row r="19" spans="1:14" ht="16.95" customHeight="1">
      <c r="A19" s="592" t="s">
        <v>110</v>
      </c>
      <c r="B19" s="593"/>
      <c r="C19" s="568">
        <f>In!M6</f>
        <v>0</v>
      </c>
      <c r="D19" s="568"/>
      <c r="E19" s="568"/>
      <c r="F19" s="416" t="s">
        <v>12</v>
      </c>
      <c r="G19" s="569"/>
      <c r="I19" s="503"/>
      <c r="J19" s="504"/>
      <c r="K19" s="506"/>
      <c r="L19" s="533"/>
    </row>
    <row r="20" spans="1:14" ht="16.95" customHeight="1">
      <c r="A20" s="594" t="s">
        <v>111</v>
      </c>
      <c r="B20" s="595"/>
      <c r="C20" s="572">
        <f>C19</f>
        <v>0</v>
      </c>
      <c r="D20" s="572"/>
      <c r="E20" s="572"/>
      <c r="F20" s="573" t="s">
        <v>12</v>
      </c>
      <c r="G20" s="574"/>
      <c r="I20" s="531"/>
      <c r="J20" s="532"/>
      <c r="K20" s="534"/>
      <c r="L20" s="535"/>
    </row>
    <row r="21" spans="1:14" ht="12" customHeight="1">
      <c r="A21" s="423"/>
      <c r="B21" s="423"/>
      <c r="E21" s="423"/>
      <c r="F21" s="423"/>
      <c r="G21" s="423"/>
      <c r="H21" s="423"/>
      <c r="N21" s="191"/>
    </row>
    <row r="22" spans="1:14">
      <c r="A22" s="384" t="s">
        <v>112</v>
      </c>
      <c r="B22" s="385"/>
      <c r="C22" s="106" t="s">
        <v>113</v>
      </c>
      <c r="D22" s="385" t="s">
        <v>114</v>
      </c>
      <c r="E22" s="385"/>
      <c r="F22" s="385"/>
      <c r="G22" s="385" t="s">
        <v>115</v>
      </c>
      <c r="H22" s="556"/>
      <c r="I22" s="348" t="s">
        <v>116</v>
      </c>
      <c r="J22" s="348"/>
      <c r="K22" s="348"/>
      <c r="L22" s="557"/>
    </row>
    <row r="23" spans="1:14" ht="19.95" customHeight="1">
      <c r="A23" s="536" t="s">
        <v>117</v>
      </c>
      <c r="B23" s="373"/>
      <c r="C23" s="45"/>
      <c r="D23" s="542"/>
      <c r="E23" s="542"/>
      <c r="F23" s="542"/>
      <c r="G23" s="542"/>
      <c r="H23" s="546"/>
      <c r="I23" s="528"/>
      <c r="J23" s="528"/>
      <c r="K23" s="528"/>
      <c r="L23" s="547"/>
    </row>
    <row r="24" spans="1:14" ht="19.95" customHeight="1">
      <c r="A24" s="537"/>
      <c r="B24" s="538"/>
      <c r="C24" s="45"/>
      <c r="D24" s="542"/>
      <c r="E24" s="542"/>
      <c r="F24" s="542"/>
      <c r="G24" s="542"/>
      <c r="H24" s="546"/>
      <c r="I24" s="528"/>
      <c r="J24" s="528"/>
      <c r="K24" s="528"/>
      <c r="L24" s="547"/>
    </row>
    <row r="25" spans="1:14" ht="19.95" customHeight="1">
      <c r="A25" s="537"/>
      <c r="B25" s="538"/>
      <c r="C25" s="45"/>
      <c r="D25" s="542"/>
      <c r="E25" s="542"/>
      <c r="F25" s="542"/>
      <c r="G25" s="542"/>
      <c r="H25" s="546"/>
      <c r="I25" s="528"/>
      <c r="J25" s="528"/>
      <c r="K25" s="528"/>
      <c r="L25" s="547"/>
    </row>
    <row r="26" spans="1:14" ht="19.95" customHeight="1">
      <c r="A26" s="537"/>
      <c r="B26" s="538"/>
      <c r="C26" s="45"/>
      <c r="D26" s="542"/>
      <c r="E26" s="542"/>
      <c r="F26" s="542"/>
      <c r="G26" s="542"/>
      <c r="H26" s="546"/>
      <c r="I26" s="528"/>
      <c r="J26" s="528"/>
      <c r="K26" s="528"/>
      <c r="L26" s="547"/>
    </row>
    <row r="27" spans="1:14" ht="19.95" customHeight="1">
      <c r="A27" s="537"/>
      <c r="B27" s="538"/>
      <c r="C27" s="103"/>
      <c r="D27" s="563"/>
      <c r="E27" s="563"/>
      <c r="F27" s="563"/>
      <c r="G27" s="563"/>
      <c r="H27" s="564"/>
      <c r="I27" s="530"/>
      <c r="J27" s="530"/>
      <c r="K27" s="530"/>
      <c r="L27" s="565"/>
    </row>
    <row r="28" spans="1:14" ht="12" hidden="1" customHeight="1">
      <c r="A28" s="423"/>
      <c r="B28" s="423"/>
      <c r="E28" s="423"/>
      <c r="F28" s="423"/>
      <c r="G28" s="423"/>
      <c r="H28" s="423"/>
    </row>
    <row r="29" spans="1:14">
      <c r="A29" s="384" t="s">
        <v>112</v>
      </c>
      <c r="B29" s="385"/>
      <c r="C29" s="106" t="s">
        <v>113</v>
      </c>
      <c r="D29" s="385" t="s">
        <v>114</v>
      </c>
      <c r="E29" s="385"/>
      <c r="F29" s="385"/>
      <c r="G29" s="385" t="s">
        <v>115</v>
      </c>
      <c r="H29" s="556"/>
      <c r="I29" s="348" t="s">
        <v>116</v>
      </c>
      <c r="J29" s="348"/>
      <c r="K29" s="348"/>
      <c r="L29" s="557"/>
    </row>
    <row r="30" spans="1:14" ht="19.95" customHeight="1">
      <c r="A30" s="536" t="s">
        <v>118</v>
      </c>
      <c r="B30" s="373"/>
      <c r="C30" s="45"/>
      <c r="D30" s="542"/>
      <c r="E30" s="542"/>
      <c r="F30" s="542"/>
      <c r="G30" s="542"/>
      <c r="H30" s="546"/>
      <c r="I30" s="528"/>
      <c r="J30" s="528"/>
      <c r="K30" s="528"/>
      <c r="L30" s="547"/>
    </row>
    <row r="31" spans="1:14" ht="19.95" customHeight="1">
      <c r="A31" s="537"/>
      <c r="B31" s="538"/>
      <c r="C31" s="45"/>
      <c r="D31" s="542"/>
      <c r="E31" s="542"/>
      <c r="F31" s="542"/>
      <c r="G31" s="542"/>
      <c r="H31" s="546"/>
      <c r="I31" s="528"/>
      <c r="J31" s="528"/>
      <c r="K31" s="528"/>
      <c r="L31" s="547"/>
    </row>
    <row r="32" spans="1:14" ht="19.95" customHeight="1">
      <c r="A32" s="537"/>
      <c r="B32" s="538"/>
      <c r="C32" s="45"/>
      <c r="D32" s="542"/>
      <c r="E32" s="542"/>
      <c r="F32" s="542"/>
      <c r="G32" s="542"/>
      <c r="H32" s="546"/>
      <c r="I32" s="528"/>
      <c r="J32" s="528"/>
      <c r="K32" s="528"/>
      <c r="L32" s="547"/>
    </row>
    <row r="33" spans="1:12" ht="19.95" customHeight="1">
      <c r="A33" s="537"/>
      <c r="B33" s="538"/>
      <c r="C33" s="45"/>
      <c r="D33" s="542"/>
      <c r="E33" s="542"/>
      <c r="F33" s="542"/>
      <c r="G33" s="542"/>
      <c r="H33" s="546"/>
      <c r="I33" s="528"/>
      <c r="J33" s="528"/>
      <c r="K33" s="528"/>
      <c r="L33" s="547"/>
    </row>
    <row r="34" spans="1:12" ht="19.95" customHeight="1">
      <c r="A34" s="539"/>
      <c r="B34" s="540"/>
      <c r="C34" s="177"/>
      <c r="D34" s="548"/>
      <c r="E34" s="548"/>
      <c r="F34" s="548"/>
      <c r="G34" s="548"/>
      <c r="H34" s="549"/>
      <c r="I34" s="550"/>
      <c r="J34" s="551"/>
      <c r="K34" s="551"/>
      <c r="L34" s="552"/>
    </row>
    <row r="35" spans="1:12" ht="19.95" customHeight="1">
      <c r="A35" s="558" t="s">
        <v>119</v>
      </c>
      <c r="B35" s="559"/>
      <c r="C35" s="559"/>
      <c r="D35" s="559"/>
      <c r="E35" s="559"/>
      <c r="F35" s="559"/>
      <c r="G35" s="559"/>
      <c r="H35" s="559"/>
      <c r="I35" s="560"/>
      <c r="J35" s="561"/>
      <c r="K35" s="561"/>
      <c r="L35" s="562"/>
    </row>
    <row r="36" spans="1:12" ht="12" customHeight="1">
      <c r="A36" s="423"/>
      <c r="B36" s="423"/>
      <c r="D36" s="463"/>
      <c r="E36" s="463"/>
      <c r="F36" s="463"/>
      <c r="G36" s="463"/>
      <c r="H36" s="517"/>
      <c r="I36" s="395"/>
      <c r="J36" s="395"/>
      <c r="K36" s="395"/>
      <c r="L36" s="395"/>
    </row>
    <row r="37" spans="1:12">
      <c r="A37" s="486" t="s">
        <v>116</v>
      </c>
      <c r="B37" s="487"/>
      <c r="C37" s="487"/>
      <c r="D37" s="487"/>
      <c r="E37" s="487"/>
      <c r="F37" s="487"/>
      <c r="G37" s="497"/>
      <c r="H37" s="34"/>
      <c r="I37" s="318" t="s">
        <v>120</v>
      </c>
      <c r="J37" s="385"/>
      <c r="K37" s="320" t="s">
        <v>121</v>
      </c>
      <c r="L37" s="305"/>
    </row>
    <row r="38" spans="1:12" ht="16.05" customHeight="1">
      <c r="A38" s="503"/>
      <c r="B38" s="463"/>
      <c r="C38" s="463"/>
      <c r="D38" s="463"/>
      <c r="E38" s="463"/>
      <c r="F38" s="463"/>
      <c r="G38" s="533"/>
      <c r="H38" s="34"/>
      <c r="I38" s="541"/>
      <c r="J38" s="542"/>
      <c r="K38" s="542"/>
      <c r="L38" s="543"/>
    </row>
    <row r="39" spans="1:12" ht="19.05" customHeight="1">
      <c r="A39" s="553"/>
      <c r="B39" s="554"/>
      <c r="C39" s="554"/>
      <c r="D39" s="554"/>
      <c r="E39" s="554"/>
      <c r="F39" s="554"/>
      <c r="G39" s="555"/>
      <c r="I39" s="365"/>
      <c r="J39" s="366"/>
      <c r="K39" s="366"/>
      <c r="L39" s="544"/>
    </row>
    <row r="40" spans="1:12" ht="19.05" customHeight="1">
      <c r="A40" s="522"/>
      <c r="B40" s="523"/>
      <c r="C40" s="523"/>
      <c r="D40" s="523"/>
      <c r="E40" s="523"/>
      <c r="F40" s="523"/>
      <c r="G40" s="524"/>
      <c r="I40" s="365"/>
      <c r="J40" s="366"/>
      <c r="K40" s="366"/>
      <c r="L40" s="544"/>
    </row>
    <row r="41" spans="1:12" ht="19.05" customHeight="1">
      <c r="A41" s="178"/>
      <c r="B41" s="179"/>
      <c r="C41" s="179"/>
      <c r="D41" s="179"/>
      <c r="E41" s="179"/>
      <c r="F41" s="179"/>
      <c r="G41" s="180"/>
      <c r="I41" s="349"/>
      <c r="J41" s="350"/>
      <c r="K41" s="350"/>
      <c r="L41" s="545"/>
    </row>
    <row r="42" spans="1:12" ht="16.05" customHeight="1"/>
    <row r="43" spans="1:12" ht="16.05" customHeight="1"/>
    <row r="44" spans="1:12" ht="16.05" customHeight="1"/>
    <row r="45" spans="1:12">
      <c r="H45" s="36"/>
    </row>
  </sheetData>
  <mergeCells count="100">
    <mergeCell ref="J1:L1"/>
    <mergeCell ref="J2:L2"/>
    <mergeCell ref="J3:L3"/>
    <mergeCell ref="C5:D5"/>
    <mergeCell ref="C6:D6"/>
    <mergeCell ref="C7:H7"/>
    <mergeCell ref="A10:B10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  <mergeCell ref="H13:L13"/>
    <mergeCell ref="A15:G15"/>
    <mergeCell ref="I15:L15"/>
    <mergeCell ref="A16:B16"/>
    <mergeCell ref="C16:G16"/>
    <mergeCell ref="I16:J16"/>
    <mergeCell ref="K16:L16"/>
    <mergeCell ref="A17:B17"/>
    <mergeCell ref="C17:E17"/>
    <mergeCell ref="F17:G17"/>
    <mergeCell ref="A18:B18"/>
    <mergeCell ref="C18:E18"/>
    <mergeCell ref="F18:G18"/>
    <mergeCell ref="A19:B19"/>
    <mergeCell ref="C19:E19"/>
    <mergeCell ref="F19:G19"/>
    <mergeCell ref="A20:B20"/>
    <mergeCell ref="C20:E20"/>
    <mergeCell ref="F20:G20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D24:F24"/>
    <mergeCell ref="G24:H24"/>
    <mergeCell ref="I24:L24"/>
    <mergeCell ref="D25:F25"/>
    <mergeCell ref="G25:H25"/>
    <mergeCell ref="I25:L25"/>
    <mergeCell ref="D26:F26"/>
    <mergeCell ref="G26:H26"/>
    <mergeCell ref="I26:L26"/>
    <mergeCell ref="I32:L32"/>
    <mergeCell ref="D27:F27"/>
    <mergeCell ref="G27:H27"/>
    <mergeCell ref="I27:L27"/>
    <mergeCell ref="A28:B28"/>
    <mergeCell ref="E28:F28"/>
    <mergeCell ref="G28:H28"/>
    <mergeCell ref="A39:G39"/>
    <mergeCell ref="A29:B29"/>
    <mergeCell ref="D29:F29"/>
    <mergeCell ref="G29:H29"/>
    <mergeCell ref="I29:L29"/>
    <mergeCell ref="A35:F35"/>
    <mergeCell ref="G35:H35"/>
    <mergeCell ref="I35:L35"/>
    <mergeCell ref="D30:F30"/>
    <mergeCell ref="G30:H30"/>
    <mergeCell ref="I30:L30"/>
    <mergeCell ref="D31:F31"/>
    <mergeCell ref="G31:H31"/>
    <mergeCell ref="I31:L31"/>
    <mergeCell ref="D32:F32"/>
    <mergeCell ref="G32:H32"/>
    <mergeCell ref="A36:B36"/>
    <mergeCell ref="D36:F36"/>
    <mergeCell ref="G36:H36"/>
    <mergeCell ref="I36:L36"/>
    <mergeCell ref="G34:H34"/>
    <mergeCell ref="I34:L34"/>
    <mergeCell ref="A40:G40"/>
    <mergeCell ref="A1:B3"/>
    <mergeCell ref="C1:I3"/>
    <mergeCell ref="I17:J20"/>
    <mergeCell ref="K17:L20"/>
    <mergeCell ref="A23:B27"/>
    <mergeCell ref="A30:B34"/>
    <mergeCell ref="A37:G38"/>
    <mergeCell ref="I37:J38"/>
    <mergeCell ref="K37:L38"/>
    <mergeCell ref="I39:J41"/>
    <mergeCell ref="K39:L41"/>
    <mergeCell ref="D33:F33"/>
    <mergeCell ref="G33:H33"/>
    <mergeCell ref="I33:L33"/>
    <mergeCell ref="D34:F34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X45"/>
  <sheetViews>
    <sheetView showGridLines="0" view="pageBreakPreview" zoomScaleNormal="100" workbookViewId="0">
      <selection activeCell="C19" sqref="C19:E19"/>
    </sheetView>
  </sheetViews>
  <sheetFormatPr defaultColWidth="9" defaultRowHeight="13.8"/>
  <cols>
    <col min="1" max="1" width="3.5546875" style="26" customWidth="1"/>
    <col min="2" max="2" width="12.109375" style="26" customWidth="1"/>
    <col min="3" max="3" width="15.109375" style="26" customWidth="1"/>
    <col min="4" max="4" width="7.88671875" style="26" customWidth="1"/>
    <col min="5" max="5" width="5" style="26" customWidth="1"/>
    <col min="6" max="6" width="7.109375" style="26" customWidth="1"/>
    <col min="7" max="7" width="12.21875" style="26" customWidth="1"/>
    <col min="8" max="8" width="2.44140625" style="26" customWidth="1"/>
    <col min="9" max="9" width="13.33203125" style="26" customWidth="1"/>
    <col min="10" max="10" width="7.33203125" style="26" customWidth="1"/>
    <col min="11" max="11" width="9.88671875" style="26" customWidth="1"/>
    <col min="12" max="12" width="9.44140625" style="26" customWidth="1"/>
    <col min="13" max="13" width="9" style="26"/>
    <col min="14" max="14" width="16.21875" style="26" customWidth="1"/>
    <col min="15" max="15" width="29" style="26" customWidth="1"/>
    <col min="16" max="16" width="9.77734375" style="26" customWidth="1"/>
    <col min="17" max="16384" width="9" style="26"/>
  </cols>
  <sheetData>
    <row r="1" spans="1:24" ht="16.2" customHeight="1">
      <c r="A1" s="525"/>
      <c r="B1" s="526"/>
      <c r="C1" s="320" t="s">
        <v>85</v>
      </c>
      <c r="D1" s="320"/>
      <c r="E1" s="320"/>
      <c r="F1" s="320"/>
      <c r="G1" s="320"/>
      <c r="H1" s="320"/>
      <c r="I1" s="320"/>
      <c r="J1" s="582" t="s">
        <v>86</v>
      </c>
      <c r="K1" s="583"/>
      <c r="L1" s="584"/>
    </row>
    <row r="2" spans="1:24" ht="16.2" customHeight="1">
      <c r="A2" s="527"/>
      <c r="B2" s="528"/>
      <c r="C2" s="398"/>
      <c r="D2" s="398"/>
      <c r="E2" s="398"/>
      <c r="F2" s="398"/>
      <c r="G2" s="398"/>
      <c r="H2" s="398"/>
      <c r="I2" s="398"/>
      <c r="J2" s="585" t="s">
        <v>87</v>
      </c>
      <c r="K2" s="586"/>
      <c r="L2" s="587"/>
      <c r="N2" s="26" t="str">
        <f>[1]In!J5</f>
        <v>SX2311007</v>
      </c>
    </row>
    <row r="3" spans="1:24" ht="16.2" customHeight="1">
      <c r="A3" s="529"/>
      <c r="B3" s="530"/>
      <c r="C3" s="401"/>
      <c r="D3" s="401"/>
      <c r="E3" s="401"/>
      <c r="F3" s="401"/>
      <c r="G3" s="401"/>
      <c r="H3" s="401"/>
      <c r="I3" s="401"/>
      <c r="J3" s="588" t="s">
        <v>123</v>
      </c>
      <c r="K3" s="589"/>
      <c r="L3" s="590"/>
    </row>
    <row r="4" spans="1:24" ht="15" customHeight="1">
      <c r="A4" s="34"/>
    </row>
    <row r="5" spans="1:24" ht="15" customHeight="1">
      <c r="A5" s="83" t="s">
        <v>89</v>
      </c>
      <c r="C5" s="581">
        <f>In!C8</f>
        <v>0</v>
      </c>
      <c r="D5" s="581"/>
      <c r="E5" s="264"/>
      <c r="F5" s="264"/>
      <c r="G5" s="264"/>
      <c r="H5" s="264"/>
      <c r="I5" s="83" t="s">
        <v>3</v>
      </c>
      <c r="J5" s="267">
        <f>In!C9</f>
        <v>0</v>
      </c>
      <c r="K5" s="266"/>
      <c r="U5" s="26" t="s">
        <v>59</v>
      </c>
      <c r="V5" s="26" t="s">
        <v>60</v>
      </c>
      <c r="W5" s="26" t="s">
        <v>61</v>
      </c>
      <c r="X5" s="26" t="s">
        <v>62</v>
      </c>
    </row>
    <row r="6" spans="1:24" ht="15" customHeight="1">
      <c r="A6" s="83" t="s">
        <v>90</v>
      </c>
      <c r="C6" s="591">
        <f>In!C7</f>
        <v>0</v>
      </c>
      <c r="D6" s="591"/>
      <c r="E6" s="265"/>
      <c r="F6" s="265"/>
      <c r="G6" s="265"/>
      <c r="H6" s="264"/>
      <c r="I6" s="83" t="s">
        <v>91</v>
      </c>
      <c r="J6" s="268" t="s">
        <v>124</v>
      </c>
      <c r="K6" s="266"/>
    </row>
    <row r="7" spans="1:24" ht="22.2" customHeight="1">
      <c r="A7" s="83" t="s">
        <v>92</v>
      </c>
      <c r="C7" s="581">
        <f>In!C6</f>
        <v>0</v>
      </c>
      <c r="D7" s="581"/>
      <c r="E7" s="581"/>
      <c r="F7" s="581"/>
      <c r="G7" s="581"/>
      <c r="H7" s="581"/>
      <c r="I7" s="83" t="s">
        <v>93</v>
      </c>
      <c r="J7" s="174" t="s">
        <v>341</v>
      </c>
    </row>
    <row r="8" spans="1:24" ht="15" customHeight="1">
      <c r="A8" s="83" t="s">
        <v>94</v>
      </c>
      <c r="B8" s="36"/>
      <c r="C8" s="266">
        <f>In!C5</f>
        <v>0</v>
      </c>
      <c r="D8" s="266"/>
      <c r="E8" s="266"/>
      <c r="F8" s="266"/>
      <c r="G8" s="266"/>
      <c r="H8" s="266"/>
      <c r="I8" s="83" t="s">
        <v>95</v>
      </c>
      <c r="J8" s="174" t="s">
        <v>341</v>
      </c>
    </row>
    <row r="9" spans="1:24" ht="15" customHeight="1">
      <c r="A9" s="83"/>
      <c r="B9" s="36"/>
      <c r="I9" s="36"/>
    </row>
    <row r="10" spans="1:24" ht="15" customHeight="1">
      <c r="A10" s="444"/>
      <c r="B10" s="445"/>
      <c r="C10" s="385" t="s">
        <v>96</v>
      </c>
      <c r="D10" s="385"/>
      <c r="E10" s="385"/>
      <c r="F10" s="385"/>
      <c r="G10" s="385"/>
      <c r="H10" s="385" t="s">
        <v>97</v>
      </c>
      <c r="I10" s="385"/>
      <c r="J10" s="385"/>
      <c r="K10" s="385"/>
      <c r="L10" s="305"/>
    </row>
    <row r="11" spans="1:24" ht="15" customHeight="1">
      <c r="A11" s="579" t="s">
        <v>98</v>
      </c>
      <c r="B11" s="331"/>
      <c r="C11" s="366" t="s">
        <v>313</v>
      </c>
      <c r="D11" s="366"/>
      <c r="E11" s="366"/>
      <c r="F11" s="366"/>
      <c r="G11" s="366"/>
      <c r="H11" s="366" t="s">
        <v>313</v>
      </c>
      <c r="I11" s="366"/>
      <c r="J11" s="366"/>
      <c r="K11" s="366"/>
      <c r="L11" s="544"/>
    </row>
    <row r="12" spans="1:24" ht="15" customHeight="1">
      <c r="A12" s="579" t="s">
        <v>99</v>
      </c>
      <c r="B12" s="331"/>
      <c r="C12" s="366" t="s">
        <v>100</v>
      </c>
      <c r="D12" s="366"/>
      <c r="E12" s="366"/>
      <c r="F12" s="366"/>
      <c r="G12" s="366"/>
      <c r="H12" s="366" t="s">
        <v>314</v>
      </c>
      <c r="I12" s="366"/>
      <c r="J12" s="366"/>
      <c r="K12" s="366"/>
      <c r="L12" s="544"/>
    </row>
    <row r="13" spans="1:24" ht="15" customHeight="1">
      <c r="A13" s="580" t="s">
        <v>101</v>
      </c>
      <c r="B13" s="333"/>
      <c r="C13" s="350"/>
      <c r="D13" s="350"/>
      <c r="E13" s="350"/>
      <c r="F13" s="350"/>
      <c r="G13" s="350"/>
      <c r="H13" s="563"/>
      <c r="I13" s="563"/>
      <c r="J13" s="563"/>
      <c r="K13" s="563"/>
      <c r="L13" s="306"/>
    </row>
    <row r="14" spans="1:24" ht="12" customHeight="1">
      <c r="A14" s="36"/>
      <c r="B14" s="36"/>
      <c r="C14" s="36"/>
      <c r="D14" s="36"/>
      <c r="E14" s="36"/>
      <c r="H14" s="36"/>
      <c r="J14" s="36"/>
    </row>
    <row r="15" spans="1:24" ht="19.05" customHeight="1">
      <c r="A15" s="575" t="s">
        <v>125</v>
      </c>
      <c r="B15" s="576"/>
      <c r="C15" s="576"/>
      <c r="D15" s="576"/>
      <c r="E15" s="576"/>
      <c r="F15" s="576"/>
      <c r="G15" s="577"/>
      <c r="I15" s="384" t="s">
        <v>103</v>
      </c>
      <c r="J15" s="385"/>
      <c r="K15" s="385"/>
      <c r="L15" s="305"/>
    </row>
    <row r="16" spans="1:24" ht="16.95" customHeight="1">
      <c r="A16" s="592" t="s">
        <v>104</v>
      </c>
      <c r="B16" s="593"/>
      <c r="C16" s="352" t="str">
        <f>'In 1'!C16</f>
        <v>Bao OPP</v>
      </c>
      <c r="D16" s="352"/>
      <c r="E16" s="352"/>
      <c r="F16" s="352"/>
      <c r="G16" s="578"/>
      <c r="I16" s="541" t="s">
        <v>105</v>
      </c>
      <c r="J16" s="542"/>
      <c r="K16" s="542" t="s">
        <v>106</v>
      </c>
      <c r="L16" s="543"/>
    </row>
    <row r="17" spans="1:14" ht="16.95" customHeight="1">
      <c r="A17" s="592" t="s">
        <v>107</v>
      </c>
      <c r="B17" s="593"/>
      <c r="C17" s="568">
        <f>'In 1'!C17</f>
        <v>0</v>
      </c>
      <c r="D17" s="568"/>
      <c r="E17" s="568"/>
      <c r="F17" s="416" t="s">
        <v>108</v>
      </c>
      <c r="G17" s="569"/>
      <c r="I17" s="503"/>
      <c r="J17" s="504"/>
      <c r="K17" s="506"/>
      <c r="L17" s="533"/>
    </row>
    <row r="18" spans="1:14" ht="16.95" customHeight="1">
      <c r="A18" s="592" t="s">
        <v>109</v>
      </c>
      <c r="B18" s="593"/>
      <c r="C18" s="568">
        <f>'In 1'!C18</f>
        <v>0</v>
      </c>
      <c r="D18" s="568"/>
      <c r="E18" s="568"/>
      <c r="F18" s="416" t="s">
        <v>108</v>
      </c>
      <c r="G18" s="569"/>
      <c r="I18" s="503"/>
      <c r="J18" s="504"/>
      <c r="K18" s="506"/>
      <c r="L18" s="533"/>
    </row>
    <row r="19" spans="1:14" ht="16.95" customHeight="1">
      <c r="A19" s="592" t="s">
        <v>110</v>
      </c>
      <c r="B19" s="593"/>
      <c r="C19" s="568">
        <f>In!M6</f>
        <v>0</v>
      </c>
      <c r="D19" s="568"/>
      <c r="E19" s="568"/>
      <c r="F19" s="416" t="s">
        <v>12</v>
      </c>
      <c r="G19" s="569"/>
      <c r="I19" s="503"/>
      <c r="J19" s="504"/>
      <c r="K19" s="506"/>
      <c r="L19" s="533"/>
    </row>
    <row r="20" spans="1:14" ht="16.95" customHeight="1">
      <c r="A20" s="594" t="s">
        <v>111</v>
      </c>
      <c r="B20" s="595"/>
      <c r="C20" s="572">
        <f>Thổi!G19</f>
        <v>0</v>
      </c>
      <c r="D20" s="572"/>
      <c r="E20" s="572"/>
      <c r="F20" s="573" t="s">
        <v>30</v>
      </c>
      <c r="G20" s="574"/>
      <c r="I20" s="531"/>
      <c r="J20" s="532"/>
      <c r="K20" s="534"/>
      <c r="L20" s="535"/>
    </row>
    <row r="21" spans="1:14" ht="12" customHeight="1">
      <c r="A21" s="423"/>
      <c r="B21" s="423"/>
      <c r="E21" s="423"/>
      <c r="F21" s="423"/>
      <c r="G21" s="423"/>
      <c r="H21" s="423"/>
      <c r="N21" s="191"/>
    </row>
    <row r="22" spans="1:14">
      <c r="A22" s="384" t="s">
        <v>112</v>
      </c>
      <c r="B22" s="385"/>
      <c r="C22" s="106" t="s">
        <v>113</v>
      </c>
      <c r="D22" s="385" t="s">
        <v>114</v>
      </c>
      <c r="E22" s="385"/>
      <c r="F22" s="385"/>
      <c r="G22" s="385" t="s">
        <v>126</v>
      </c>
      <c r="H22" s="556"/>
      <c r="I22" s="348" t="s">
        <v>116</v>
      </c>
      <c r="J22" s="348"/>
      <c r="K22" s="348"/>
      <c r="L22" s="557"/>
    </row>
    <row r="23" spans="1:14" ht="19.95" customHeight="1">
      <c r="A23" s="536" t="s">
        <v>117</v>
      </c>
      <c r="B23" s="373"/>
      <c r="C23" s="45"/>
      <c r="D23" s="542"/>
      <c r="E23" s="542"/>
      <c r="F23" s="542"/>
      <c r="G23" s="542"/>
      <c r="H23" s="546"/>
      <c r="I23" s="528"/>
      <c r="J23" s="528"/>
      <c r="K23" s="528"/>
      <c r="L23" s="547"/>
    </row>
    <row r="24" spans="1:14" ht="19.95" customHeight="1">
      <c r="A24" s="537"/>
      <c r="B24" s="538"/>
      <c r="C24" s="45"/>
      <c r="D24" s="542"/>
      <c r="E24" s="542"/>
      <c r="F24" s="542"/>
      <c r="G24" s="542"/>
      <c r="H24" s="546"/>
      <c r="I24" s="528"/>
      <c r="J24" s="528"/>
      <c r="K24" s="528"/>
      <c r="L24" s="547"/>
    </row>
    <row r="25" spans="1:14" ht="19.95" customHeight="1">
      <c r="A25" s="537"/>
      <c r="B25" s="538"/>
      <c r="C25" s="45"/>
      <c r="D25" s="542"/>
      <c r="E25" s="542"/>
      <c r="F25" s="542"/>
      <c r="G25" s="542"/>
      <c r="H25" s="546"/>
      <c r="I25" s="528"/>
      <c r="J25" s="528"/>
      <c r="K25" s="528"/>
      <c r="L25" s="547"/>
    </row>
    <row r="26" spans="1:14" ht="19.95" customHeight="1">
      <c r="A26" s="537"/>
      <c r="B26" s="538"/>
      <c r="C26" s="45"/>
      <c r="D26" s="542"/>
      <c r="E26" s="542"/>
      <c r="F26" s="542"/>
      <c r="G26" s="542"/>
      <c r="H26" s="546"/>
      <c r="I26" s="528"/>
      <c r="J26" s="528"/>
      <c r="K26" s="528"/>
      <c r="L26" s="547"/>
    </row>
    <row r="27" spans="1:14" ht="19.95" customHeight="1">
      <c r="A27" s="537"/>
      <c r="B27" s="538"/>
      <c r="C27" s="103"/>
      <c r="D27" s="563"/>
      <c r="E27" s="563"/>
      <c r="F27" s="563"/>
      <c r="G27" s="563"/>
      <c r="H27" s="564"/>
      <c r="I27" s="530"/>
      <c r="J27" s="530"/>
      <c r="K27" s="530"/>
      <c r="L27" s="565"/>
    </row>
    <row r="28" spans="1:14" ht="12" hidden="1" customHeight="1">
      <c r="A28" s="423"/>
      <c r="B28" s="423"/>
      <c r="E28" s="423"/>
      <c r="F28" s="423"/>
      <c r="G28" s="423"/>
      <c r="H28" s="423"/>
    </row>
    <row r="29" spans="1:14">
      <c r="A29" s="384" t="s">
        <v>112</v>
      </c>
      <c r="B29" s="385"/>
      <c r="C29" s="106" t="s">
        <v>113</v>
      </c>
      <c r="D29" s="385" t="s">
        <v>114</v>
      </c>
      <c r="E29" s="385"/>
      <c r="F29" s="385"/>
      <c r="G29" s="385" t="s">
        <v>126</v>
      </c>
      <c r="H29" s="556"/>
      <c r="I29" s="348" t="s">
        <v>116</v>
      </c>
      <c r="J29" s="348"/>
      <c r="K29" s="348"/>
      <c r="L29" s="557"/>
    </row>
    <row r="30" spans="1:14" ht="19.95" customHeight="1">
      <c r="A30" s="536" t="s">
        <v>118</v>
      </c>
      <c r="B30" s="373"/>
      <c r="C30" s="45"/>
      <c r="D30" s="542"/>
      <c r="E30" s="542"/>
      <c r="F30" s="542"/>
      <c r="G30" s="542"/>
      <c r="H30" s="546"/>
      <c r="I30" s="528"/>
      <c r="J30" s="528"/>
      <c r="K30" s="528"/>
      <c r="L30" s="547"/>
    </row>
    <row r="31" spans="1:14" ht="19.95" customHeight="1">
      <c r="A31" s="537"/>
      <c r="B31" s="538"/>
      <c r="C31" s="45"/>
      <c r="D31" s="542"/>
      <c r="E31" s="542"/>
      <c r="F31" s="542"/>
      <c r="G31" s="542"/>
      <c r="H31" s="546"/>
      <c r="I31" s="528"/>
      <c r="J31" s="528"/>
      <c r="K31" s="528"/>
      <c r="L31" s="547"/>
    </row>
    <row r="32" spans="1:14" ht="19.95" customHeight="1">
      <c r="A32" s="537"/>
      <c r="B32" s="538"/>
      <c r="C32" s="45"/>
      <c r="D32" s="542"/>
      <c r="E32" s="542"/>
      <c r="F32" s="542"/>
      <c r="G32" s="542"/>
      <c r="H32" s="546"/>
      <c r="I32" s="528"/>
      <c r="J32" s="528"/>
      <c r="K32" s="528"/>
      <c r="L32" s="547"/>
    </row>
    <row r="33" spans="1:12" ht="19.95" customHeight="1">
      <c r="A33" s="537"/>
      <c r="B33" s="538"/>
      <c r="C33" s="45"/>
      <c r="D33" s="542"/>
      <c r="E33" s="542"/>
      <c r="F33" s="542"/>
      <c r="G33" s="542"/>
      <c r="H33" s="546"/>
      <c r="I33" s="528"/>
      <c r="J33" s="528"/>
      <c r="K33" s="528"/>
      <c r="L33" s="547"/>
    </row>
    <row r="34" spans="1:12" ht="19.95" customHeight="1">
      <c r="A34" s="539"/>
      <c r="B34" s="540"/>
      <c r="C34" s="177"/>
      <c r="D34" s="548"/>
      <c r="E34" s="548"/>
      <c r="F34" s="548"/>
      <c r="G34" s="548"/>
      <c r="H34" s="549"/>
      <c r="I34" s="550"/>
      <c r="J34" s="551"/>
      <c r="K34" s="551"/>
      <c r="L34" s="552"/>
    </row>
    <row r="35" spans="1:12" ht="19.95" customHeight="1">
      <c r="A35" s="558" t="s">
        <v>119</v>
      </c>
      <c r="B35" s="559"/>
      <c r="C35" s="559"/>
      <c r="D35" s="559"/>
      <c r="E35" s="559"/>
      <c r="F35" s="559"/>
      <c r="G35" s="559"/>
      <c r="H35" s="559"/>
      <c r="I35" s="560"/>
      <c r="J35" s="561"/>
      <c r="K35" s="561"/>
      <c r="L35" s="562"/>
    </row>
    <row r="36" spans="1:12" ht="12" customHeight="1">
      <c r="A36" s="423"/>
      <c r="B36" s="423"/>
      <c r="D36" s="463"/>
      <c r="E36" s="463"/>
      <c r="F36" s="463"/>
      <c r="G36" s="463"/>
      <c r="H36" s="517"/>
      <c r="I36" s="395"/>
      <c r="J36" s="395"/>
      <c r="K36" s="395"/>
      <c r="L36" s="395"/>
    </row>
    <row r="37" spans="1:12">
      <c r="A37" s="486" t="s">
        <v>116</v>
      </c>
      <c r="B37" s="487"/>
      <c r="C37" s="487"/>
      <c r="D37" s="487"/>
      <c r="E37" s="487"/>
      <c r="F37" s="487"/>
      <c r="G37" s="497"/>
      <c r="H37" s="34"/>
      <c r="I37" s="318" t="s">
        <v>120</v>
      </c>
      <c r="J37" s="385"/>
      <c r="K37" s="320" t="s">
        <v>121</v>
      </c>
      <c r="L37" s="305"/>
    </row>
    <row r="38" spans="1:12" ht="16.05" customHeight="1">
      <c r="A38" s="503"/>
      <c r="B38" s="463"/>
      <c r="C38" s="463"/>
      <c r="D38" s="463"/>
      <c r="E38" s="463"/>
      <c r="F38" s="463"/>
      <c r="G38" s="533"/>
      <c r="H38" s="34"/>
      <c r="I38" s="541"/>
      <c r="J38" s="542"/>
      <c r="K38" s="542"/>
      <c r="L38" s="543"/>
    </row>
    <row r="39" spans="1:12" ht="18" customHeight="1">
      <c r="A39" s="553"/>
      <c r="B39" s="554"/>
      <c r="C39" s="554"/>
      <c r="D39" s="554"/>
      <c r="E39" s="554"/>
      <c r="F39" s="554"/>
      <c r="G39" s="555"/>
      <c r="I39" s="365"/>
      <c r="J39" s="366"/>
      <c r="K39" s="366"/>
      <c r="L39" s="544"/>
    </row>
    <row r="40" spans="1:12" ht="18" customHeight="1">
      <c r="A40" s="522"/>
      <c r="B40" s="523"/>
      <c r="C40" s="523"/>
      <c r="D40" s="523"/>
      <c r="E40" s="523"/>
      <c r="F40" s="523"/>
      <c r="G40" s="524"/>
      <c r="I40" s="365"/>
      <c r="J40" s="366"/>
      <c r="K40" s="366"/>
      <c r="L40" s="544"/>
    </row>
    <row r="41" spans="1:12" ht="18" customHeight="1">
      <c r="A41" s="596"/>
      <c r="B41" s="597"/>
      <c r="C41" s="597"/>
      <c r="D41" s="597"/>
      <c r="E41" s="597"/>
      <c r="F41" s="597"/>
      <c r="G41" s="598"/>
      <c r="I41" s="349"/>
      <c r="J41" s="350"/>
      <c r="K41" s="350"/>
      <c r="L41" s="545"/>
    </row>
    <row r="42" spans="1:12" ht="16.05" customHeight="1"/>
    <row r="43" spans="1:12" ht="16.05" customHeight="1"/>
    <row r="44" spans="1:12" ht="16.05" customHeight="1"/>
    <row r="45" spans="1:12">
      <c r="H45" s="36"/>
    </row>
  </sheetData>
  <mergeCells count="101">
    <mergeCell ref="J1:L1"/>
    <mergeCell ref="J2:L2"/>
    <mergeCell ref="J3:L3"/>
    <mergeCell ref="C5:D5"/>
    <mergeCell ref="C6:D6"/>
    <mergeCell ref="C7:H7"/>
    <mergeCell ref="A10:B10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  <mergeCell ref="H13:L13"/>
    <mergeCell ref="A15:G15"/>
    <mergeCell ref="I15:L15"/>
    <mergeCell ref="A16:B16"/>
    <mergeCell ref="C16:G16"/>
    <mergeCell ref="I16:J16"/>
    <mergeCell ref="K16:L16"/>
    <mergeCell ref="A17:B17"/>
    <mergeCell ref="C17:E17"/>
    <mergeCell ref="F17:G17"/>
    <mergeCell ref="A18:B18"/>
    <mergeCell ref="C18:E18"/>
    <mergeCell ref="F18:G18"/>
    <mergeCell ref="A19:B19"/>
    <mergeCell ref="C19:E19"/>
    <mergeCell ref="F19:G19"/>
    <mergeCell ref="A20:B20"/>
    <mergeCell ref="C20:E20"/>
    <mergeCell ref="F20:G20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D24:F24"/>
    <mergeCell ref="G24:H24"/>
    <mergeCell ref="I24:L24"/>
    <mergeCell ref="D25:F25"/>
    <mergeCell ref="G25:H25"/>
    <mergeCell ref="I25:L25"/>
    <mergeCell ref="D26:F26"/>
    <mergeCell ref="G26:H26"/>
    <mergeCell ref="I26:L26"/>
    <mergeCell ref="D27:F27"/>
    <mergeCell ref="G27:H27"/>
    <mergeCell ref="I27:L27"/>
    <mergeCell ref="A28:B28"/>
    <mergeCell ref="E28:F28"/>
    <mergeCell ref="G28:H28"/>
    <mergeCell ref="A29:B29"/>
    <mergeCell ref="D29:F29"/>
    <mergeCell ref="G29:H29"/>
    <mergeCell ref="I29:L29"/>
    <mergeCell ref="A35:F35"/>
    <mergeCell ref="G35:H35"/>
    <mergeCell ref="I35:L35"/>
    <mergeCell ref="D30:F30"/>
    <mergeCell ref="G30:H30"/>
    <mergeCell ref="I30:L30"/>
    <mergeCell ref="D31:F31"/>
    <mergeCell ref="G31:H31"/>
    <mergeCell ref="I31:L31"/>
    <mergeCell ref="D32:F32"/>
    <mergeCell ref="G32:H32"/>
    <mergeCell ref="I32:L32"/>
    <mergeCell ref="A36:B36"/>
    <mergeCell ref="D36:F36"/>
    <mergeCell ref="G36:H36"/>
    <mergeCell ref="I36:L36"/>
    <mergeCell ref="A39:G39"/>
    <mergeCell ref="A40:G40"/>
    <mergeCell ref="A41:G41"/>
    <mergeCell ref="A1:B3"/>
    <mergeCell ref="C1:I3"/>
    <mergeCell ref="I17:J20"/>
    <mergeCell ref="K17:L20"/>
    <mergeCell ref="A23:B27"/>
    <mergeCell ref="A30:B34"/>
    <mergeCell ref="A37:G38"/>
    <mergeCell ref="I37:J38"/>
    <mergeCell ref="K37:L38"/>
    <mergeCell ref="I39:J41"/>
    <mergeCell ref="K39:L41"/>
    <mergeCell ref="D33:F33"/>
    <mergeCell ref="G33:H33"/>
    <mergeCell ref="I33:L33"/>
    <mergeCell ref="D34:F34"/>
    <mergeCell ref="G34:H34"/>
    <mergeCell ref="I34:L34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X45"/>
  <sheetViews>
    <sheetView showGridLines="0" view="pageBreakPreview" zoomScaleNormal="100" workbookViewId="0">
      <selection activeCell="C8" sqref="C8"/>
    </sheetView>
  </sheetViews>
  <sheetFormatPr defaultColWidth="9" defaultRowHeight="13.8"/>
  <cols>
    <col min="1" max="1" width="3.5546875" style="26" customWidth="1"/>
    <col min="2" max="2" width="12.109375" style="26" customWidth="1"/>
    <col min="3" max="3" width="14.109375" style="26" customWidth="1"/>
    <col min="4" max="4" width="7.88671875" style="26" customWidth="1"/>
    <col min="5" max="5" width="6.77734375" style="26" customWidth="1"/>
    <col min="6" max="6" width="10.33203125" style="26" customWidth="1"/>
    <col min="7" max="7" width="12.21875" style="26" customWidth="1"/>
    <col min="8" max="8" width="1.88671875" style="26" customWidth="1"/>
    <col min="9" max="9" width="13.33203125" style="26" customWidth="1"/>
    <col min="10" max="10" width="6.21875" style="26" customWidth="1"/>
    <col min="11" max="11" width="9.88671875" style="26" customWidth="1"/>
    <col min="12" max="12" width="7.5546875" style="26" customWidth="1"/>
    <col min="13" max="13" width="9" style="26"/>
    <col min="14" max="14" width="16.21875" style="26" customWidth="1"/>
    <col min="15" max="15" width="29" style="26" customWidth="1"/>
    <col min="16" max="16" width="9.77734375" style="26" customWidth="1"/>
    <col min="17" max="16384" width="9" style="26"/>
  </cols>
  <sheetData>
    <row r="1" spans="1:24" ht="16.2" customHeight="1">
      <c r="A1" s="525"/>
      <c r="B1" s="526"/>
      <c r="C1" s="320" t="s">
        <v>85</v>
      </c>
      <c r="D1" s="320"/>
      <c r="E1" s="320"/>
      <c r="F1" s="320"/>
      <c r="G1" s="320"/>
      <c r="H1" s="320"/>
      <c r="I1" s="320"/>
      <c r="J1" s="582" t="s">
        <v>86</v>
      </c>
      <c r="K1" s="583"/>
      <c r="L1" s="584"/>
    </row>
    <row r="2" spans="1:24" ht="16.2" customHeight="1">
      <c r="A2" s="527"/>
      <c r="B2" s="528"/>
      <c r="C2" s="398"/>
      <c r="D2" s="398"/>
      <c r="E2" s="398"/>
      <c r="F2" s="398"/>
      <c r="G2" s="398"/>
      <c r="H2" s="398"/>
      <c r="I2" s="398"/>
      <c r="J2" s="585" t="s">
        <v>87</v>
      </c>
      <c r="K2" s="586"/>
      <c r="L2" s="587"/>
      <c r="N2" s="26" t="str">
        <f>[1]In!J5</f>
        <v>SX2311007</v>
      </c>
    </row>
    <row r="3" spans="1:24" ht="16.2" customHeight="1">
      <c r="A3" s="529"/>
      <c r="B3" s="530"/>
      <c r="C3" s="401"/>
      <c r="D3" s="401"/>
      <c r="E3" s="401"/>
      <c r="F3" s="401"/>
      <c r="G3" s="401"/>
      <c r="H3" s="401"/>
      <c r="I3" s="401"/>
      <c r="J3" s="588" t="s">
        <v>88</v>
      </c>
      <c r="K3" s="589"/>
      <c r="L3" s="590"/>
    </row>
    <row r="4" spans="1:24" ht="15" customHeight="1">
      <c r="A4" s="34"/>
    </row>
    <row r="5" spans="1:24" ht="15" customHeight="1">
      <c r="A5" s="83" t="s">
        <v>89</v>
      </c>
      <c r="C5" s="581">
        <f>In!C8</f>
        <v>0</v>
      </c>
      <c r="D5" s="581"/>
      <c r="E5" s="264"/>
      <c r="F5" s="264"/>
      <c r="G5" s="264"/>
      <c r="H5" s="264"/>
      <c r="I5" s="83" t="s">
        <v>3</v>
      </c>
      <c r="J5" s="267">
        <f>In!C9</f>
        <v>0</v>
      </c>
      <c r="K5" s="266"/>
      <c r="U5" s="26" t="s">
        <v>59</v>
      </c>
      <c r="V5" s="26" t="s">
        <v>60</v>
      </c>
      <c r="W5" s="26" t="s">
        <v>61</v>
      </c>
      <c r="X5" s="26" t="s">
        <v>62</v>
      </c>
    </row>
    <row r="6" spans="1:24" ht="15" customHeight="1">
      <c r="A6" s="83" t="s">
        <v>90</v>
      </c>
      <c r="C6" s="591">
        <f>In!C7</f>
        <v>0</v>
      </c>
      <c r="D6" s="591"/>
      <c r="E6" s="265"/>
      <c r="F6" s="265"/>
      <c r="G6" s="265"/>
      <c r="H6" s="264"/>
      <c r="I6" s="83" t="s">
        <v>91</v>
      </c>
      <c r="J6" s="268" t="s">
        <v>127</v>
      </c>
      <c r="K6" s="266"/>
    </row>
    <row r="7" spans="1:24" ht="15" customHeight="1">
      <c r="A7" s="83" t="s">
        <v>92</v>
      </c>
      <c r="C7" s="581">
        <f>In!C6</f>
        <v>0</v>
      </c>
      <c r="D7" s="581"/>
      <c r="E7" s="581"/>
      <c r="F7" s="581"/>
      <c r="G7" s="581"/>
      <c r="H7" s="581"/>
      <c r="I7" s="83" t="s">
        <v>93</v>
      </c>
      <c r="J7" s="174" t="s">
        <v>341</v>
      </c>
    </row>
    <row r="8" spans="1:24" ht="15" customHeight="1">
      <c r="A8" s="83" t="s">
        <v>94</v>
      </c>
      <c r="B8" s="36"/>
      <c r="C8" s="266">
        <f>In!C5</f>
        <v>0</v>
      </c>
      <c r="D8" s="266"/>
      <c r="E8" s="266"/>
      <c r="F8" s="266"/>
      <c r="G8" s="266"/>
      <c r="H8" s="266"/>
      <c r="I8" s="83" t="s">
        <v>95</v>
      </c>
      <c r="J8" s="174" t="s">
        <v>341</v>
      </c>
    </row>
    <row r="9" spans="1:24" ht="15" customHeight="1">
      <c r="A9" s="83"/>
      <c r="B9" s="36"/>
      <c r="I9" s="36"/>
    </row>
    <row r="10" spans="1:24" ht="15" customHeight="1">
      <c r="A10" s="444"/>
      <c r="B10" s="445"/>
      <c r="C10" s="385" t="s">
        <v>96</v>
      </c>
      <c r="D10" s="385"/>
      <c r="E10" s="385"/>
      <c r="F10" s="385"/>
      <c r="G10" s="385"/>
      <c r="H10" s="385" t="s">
        <v>97</v>
      </c>
      <c r="I10" s="385"/>
      <c r="J10" s="385"/>
      <c r="K10" s="385"/>
      <c r="L10" s="305"/>
    </row>
    <row r="11" spans="1:24" ht="15" customHeight="1">
      <c r="A11" s="579" t="s">
        <v>98</v>
      </c>
      <c r="B11" s="331"/>
      <c r="C11" s="366" t="s">
        <v>313</v>
      </c>
      <c r="D11" s="366"/>
      <c r="E11" s="366"/>
      <c r="F11" s="366"/>
      <c r="G11" s="366"/>
      <c r="H11" s="366" t="s">
        <v>313</v>
      </c>
      <c r="I11" s="366"/>
      <c r="J11" s="366"/>
      <c r="K11" s="366"/>
      <c r="L11" s="544"/>
    </row>
    <row r="12" spans="1:24" ht="15" customHeight="1">
      <c r="A12" s="579" t="s">
        <v>99</v>
      </c>
      <c r="B12" s="331"/>
      <c r="C12" s="366" t="s">
        <v>100</v>
      </c>
      <c r="D12" s="366"/>
      <c r="E12" s="366"/>
      <c r="F12" s="366"/>
      <c r="G12" s="366"/>
      <c r="H12" s="366" t="s">
        <v>314</v>
      </c>
      <c r="I12" s="366"/>
      <c r="J12" s="366"/>
      <c r="K12" s="366"/>
      <c r="L12" s="544"/>
    </row>
    <row r="13" spans="1:24" ht="15" customHeight="1">
      <c r="A13" s="580" t="s">
        <v>101</v>
      </c>
      <c r="B13" s="333"/>
      <c r="C13" s="350"/>
      <c r="D13" s="350"/>
      <c r="E13" s="350"/>
      <c r="F13" s="350"/>
      <c r="G13" s="350"/>
      <c r="H13" s="563"/>
      <c r="I13" s="563"/>
      <c r="J13" s="563"/>
      <c r="K13" s="563"/>
      <c r="L13" s="306"/>
    </row>
    <row r="14" spans="1:24" ht="12" customHeight="1">
      <c r="A14" s="36"/>
      <c r="B14" s="36"/>
      <c r="C14" s="36"/>
      <c r="D14" s="36"/>
      <c r="E14" s="36"/>
      <c r="H14" s="36"/>
      <c r="J14" s="36"/>
    </row>
    <row r="15" spans="1:24" ht="19.05" customHeight="1">
      <c r="A15" s="575" t="s">
        <v>128</v>
      </c>
      <c r="B15" s="576"/>
      <c r="C15" s="576"/>
      <c r="D15" s="576"/>
      <c r="E15" s="576"/>
      <c r="F15" s="576"/>
      <c r="G15" s="577"/>
      <c r="I15" s="384" t="s">
        <v>103</v>
      </c>
      <c r="J15" s="385"/>
      <c r="K15" s="385"/>
      <c r="L15" s="305"/>
    </row>
    <row r="16" spans="1:24" ht="16.95" customHeight="1">
      <c r="A16" s="592" t="s">
        <v>104</v>
      </c>
      <c r="B16" s="593"/>
      <c r="C16" s="600" t="s">
        <v>135</v>
      </c>
      <c r="D16" s="600"/>
      <c r="E16" s="600"/>
      <c r="F16" s="600"/>
      <c r="G16" s="601"/>
      <c r="I16" s="541" t="s">
        <v>105</v>
      </c>
      <c r="J16" s="542"/>
      <c r="K16" s="542" t="s">
        <v>106</v>
      </c>
      <c r="L16" s="543"/>
    </row>
    <row r="17" spans="1:14" ht="16.95" customHeight="1">
      <c r="A17" s="592" t="s">
        <v>107</v>
      </c>
      <c r="B17" s="593"/>
      <c r="C17" s="568">
        <f>'In 1'!C17</f>
        <v>0</v>
      </c>
      <c r="D17" s="568"/>
      <c r="E17" s="568"/>
      <c r="F17" s="416" t="s">
        <v>108</v>
      </c>
      <c r="G17" s="569"/>
      <c r="I17" s="500"/>
      <c r="J17" s="502"/>
      <c r="K17" s="505"/>
      <c r="L17" s="599"/>
    </row>
    <row r="18" spans="1:14" ht="16.95" customHeight="1">
      <c r="A18" s="592" t="s">
        <v>109</v>
      </c>
      <c r="B18" s="593"/>
      <c r="C18" s="568">
        <f>'In 1'!C18</f>
        <v>0</v>
      </c>
      <c r="D18" s="568"/>
      <c r="E18" s="568"/>
      <c r="F18" s="416" t="s">
        <v>108</v>
      </c>
      <c r="G18" s="569"/>
      <c r="I18" s="503"/>
      <c r="J18" s="504"/>
      <c r="K18" s="506"/>
      <c r="L18" s="533"/>
    </row>
    <row r="19" spans="1:14" ht="16.95" customHeight="1">
      <c r="A19" s="592" t="s">
        <v>110</v>
      </c>
      <c r="B19" s="593"/>
      <c r="C19" s="568">
        <f>In!M6</f>
        <v>0</v>
      </c>
      <c r="D19" s="568"/>
      <c r="E19" s="568"/>
      <c r="F19" s="416" t="s">
        <v>12</v>
      </c>
      <c r="G19" s="569"/>
      <c r="I19" s="503"/>
      <c r="J19" s="504"/>
      <c r="K19" s="506"/>
      <c r="L19" s="533"/>
    </row>
    <row r="20" spans="1:14" ht="16.95" customHeight="1">
      <c r="A20" s="594" t="s">
        <v>111</v>
      </c>
      <c r="B20" s="595"/>
      <c r="C20" s="572">
        <f>Tráng!M9</f>
        <v>0</v>
      </c>
      <c r="D20" s="572"/>
      <c r="E20" s="572"/>
      <c r="F20" s="573" t="s">
        <v>129</v>
      </c>
      <c r="G20" s="574"/>
      <c r="I20" s="531"/>
      <c r="J20" s="532"/>
      <c r="K20" s="534"/>
      <c r="L20" s="535"/>
    </row>
    <row r="21" spans="1:14" ht="12" customHeight="1">
      <c r="A21" s="423"/>
      <c r="B21" s="423"/>
      <c r="E21" s="423"/>
      <c r="F21" s="423"/>
      <c r="G21" s="423"/>
      <c r="H21" s="423"/>
      <c r="N21" s="191"/>
    </row>
    <row r="22" spans="1:14">
      <c r="A22" s="384" t="s">
        <v>112</v>
      </c>
      <c r="B22" s="385"/>
      <c r="C22" s="106" t="s">
        <v>113</v>
      </c>
      <c r="D22" s="385" t="s">
        <v>114</v>
      </c>
      <c r="E22" s="385"/>
      <c r="F22" s="385"/>
      <c r="G22" s="385" t="s">
        <v>130</v>
      </c>
      <c r="H22" s="556"/>
      <c r="I22" s="348" t="s">
        <v>116</v>
      </c>
      <c r="J22" s="348"/>
      <c r="K22" s="348"/>
      <c r="L22" s="557"/>
    </row>
    <row r="23" spans="1:14" ht="19.95" customHeight="1">
      <c r="A23" s="536" t="s">
        <v>117</v>
      </c>
      <c r="B23" s="373"/>
      <c r="C23" s="45"/>
      <c r="D23" s="542"/>
      <c r="E23" s="542"/>
      <c r="F23" s="542"/>
      <c r="G23" s="542"/>
      <c r="H23" s="546"/>
      <c r="I23" s="528"/>
      <c r="J23" s="528"/>
      <c r="K23" s="528"/>
      <c r="L23" s="547"/>
    </row>
    <row r="24" spans="1:14" ht="19.95" customHeight="1">
      <c r="A24" s="537"/>
      <c r="B24" s="538"/>
      <c r="C24" s="45"/>
      <c r="D24" s="542"/>
      <c r="E24" s="542"/>
      <c r="F24" s="542"/>
      <c r="G24" s="542"/>
      <c r="H24" s="546"/>
      <c r="I24" s="528"/>
      <c r="J24" s="528"/>
      <c r="K24" s="528"/>
      <c r="L24" s="547"/>
    </row>
    <row r="25" spans="1:14" ht="19.95" customHeight="1">
      <c r="A25" s="537"/>
      <c r="B25" s="538"/>
      <c r="C25" s="45"/>
      <c r="D25" s="542"/>
      <c r="E25" s="542"/>
      <c r="F25" s="542"/>
      <c r="G25" s="542"/>
      <c r="H25" s="546"/>
      <c r="I25" s="528"/>
      <c r="J25" s="528"/>
      <c r="K25" s="528"/>
      <c r="L25" s="547"/>
    </row>
    <row r="26" spans="1:14" ht="19.95" customHeight="1">
      <c r="A26" s="537"/>
      <c r="B26" s="538"/>
      <c r="C26" s="45"/>
      <c r="D26" s="542"/>
      <c r="E26" s="542"/>
      <c r="F26" s="542"/>
      <c r="G26" s="542"/>
      <c r="H26" s="546"/>
      <c r="I26" s="528"/>
      <c r="J26" s="528"/>
      <c r="K26" s="528"/>
      <c r="L26" s="547"/>
    </row>
    <row r="27" spans="1:14" ht="19.95" customHeight="1">
      <c r="A27" s="537"/>
      <c r="B27" s="538"/>
      <c r="C27" s="103"/>
      <c r="D27" s="563"/>
      <c r="E27" s="563"/>
      <c r="F27" s="563"/>
      <c r="G27" s="563"/>
      <c r="H27" s="564"/>
      <c r="I27" s="530"/>
      <c r="J27" s="530"/>
      <c r="K27" s="530"/>
      <c r="L27" s="565"/>
    </row>
    <row r="28" spans="1:14" ht="12" hidden="1" customHeight="1">
      <c r="A28" s="423"/>
      <c r="B28" s="423"/>
      <c r="E28" s="423"/>
      <c r="F28" s="423"/>
      <c r="G28" s="423"/>
      <c r="H28" s="423"/>
    </row>
    <row r="29" spans="1:14">
      <c r="A29" s="384" t="s">
        <v>112</v>
      </c>
      <c r="B29" s="385"/>
      <c r="C29" s="106" t="s">
        <v>113</v>
      </c>
      <c r="D29" s="385" t="s">
        <v>114</v>
      </c>
      <c r="E29" s="385"/>
      <c r="F29" s="385"/>
      <c r="G29" s="385" t="s">
        <v>130</v>
      </c>
      <c r="H29" s="556"/>
      <c r="I29" s="348" t="s">
        <v>116</v>
      </c>
      <c r="J29" s="348"/>
      <c r="K29" s="348"/>
      <c r="L29" s="557"/>
    </row>
    <row r="30" spans="1:14" ht="19.95" customHeight="1">
      <c r="A30" s="536" t="s">
        <v>118</v>
      </c>
      <c r="B30" s="373"/>
      <c r="C30" s="45"/>
      <c r="D30" s="542"/>
      <c r="E30" s="542"/>
      <c r="F30" s="542"/>
      <c r="G30" s="542"/>
      <c r="H30" s="546"/>
      <c r="I30" s="528"/>
      <c r="J30" s="528"/>
      <c r="K30" s="528"/>
      <c r="L30" s="547"/>
    </row>
    <row r="31" spans="1:14" ht="19.95" customHeight="1">
      <c r="A31" s="537"/>
      <c r="B31" s="538"/>
      <c r="C31" s="45"/>
      <c r="D31" s="542"/>
      <c r="E31" s="542"/>
      <c r="F31" s="542"/>
      <c r="G31" s="542"/>
      <c r="H31" s="546"/>
      <c r="I31" s="528"/>
      <c r="J31" s="528"/>
      <c r="K31" s="528"/>
      <c r="L31" s="547"/>
    </row>
    <row r="32" spans="1:14" ht="19.95" customHeight="1">
      <c r="A32" s="537"/>
      <c r="B32" s="538"/>
      <c r="C32" s="45"/>
      <c r="D32" s="542"/>
      <c r="E32" s="542"/>
      <c r="F32" s="542"/>
      <c r="G32" s="542"/>
      <c r="H32" s="546"/>
      <c r="I32" s="528"/>
      <c r="J32" s="528"/>
      <c r="K32" s="528"/>
      <c r="L32" s="547"/>
    </row>
    <row r="33" spans="1:12" ht="19.95" customHeight="1">
      <c r="A33" s="537"/>
      <c r="B33" s="538"/>
      <c r="C33" s="45"/>
      <c r="D33" s="542"/>
      <c r="E33" s="542"/>
      <c r="F33" s="542"/>
      <c r="G33" s="542"/>
      <c r="H33" s="546"/>
      <c r="I33" s="528"/>
      <c r="J33" s="528"/>
      <c r="K33" s="528"/>
      <c r="L33" s="547"/>
    </row>
    <row r="34" spans="1:12" ht="19.95" customHeight="1">
      <c r="A34" s="539"/>
      <c r="B34" s="540"/>
      <c r="C34" s="177"/>
      <c r="D34" s="548"/>
      <c r="E34" s="548"/>
      <c r="F34" s="548"/>
      <c r="G34" s="548"/>
      <c r="H34" s="549"/>
      <c r="I34" s="550"/>
      <c r="J34" s="551"/>
      <c r="K34" s="551"/>
      <c r="L34" s="552"/>
    </row>
    <row r="35" spans="1:12" ht="19.95" customHeight="1">
      <c r="A35" s="558" t="s">
        <v>119</v>
      </c>
      <c r="B35" s="559"/>
      <c r="C35" s="559"/>
      <c r="D35" s="559"/>
      <c r="E35" s="559"/>
      <c r="F35" s="559"/>
      <c r="G35" s="559"/>
      <c r="H35" s="559"/>
      <c r="I35" s="560"/>
      <c r="J35" s="561"/>
      <c r="K35" s="561"/>
      <c r="L35" s="562"/>
    </row>
    <row r="36" spans="1:12" ht="12" customHeight="1">
      <c r="A36" s="423"/>
      <c r="B36" s="423"/>
      <c r="D36" s="463"/>
      <c r="E36" s="463"/>
      <c r="F36" s="463"/>
      <c r="G36" s="463"/>
      <c r="H36" s="517"/>
      <c r="I36" s="395"/>
      <c r="J36" s="395"/>
      <c r="K36" s="395"/>
      <c r="L36" s="395"/>
    </row>
    <row r="37" spans="1:12">
      <c r="A37" s="486" t="s">
        <v>116</v>
      </c>
      <c r="B37" s="487"/>
      <c r="C37" s="487"/>
      <c r="D37" s="487"/>
      <c r="E37" s="487"/>
      <c r="F37" s="487"/>
      <c r="G37" s="497"/>
      <c r="H37" s="34"/>
      <c r="I37" s="318" t="s">
        <v>120</v>
      </c>
      <c r="J37" s="385"/>
      <c r="K37" s="320" t="s">
        <v>121</v>
      </c>
      <c r="L37" s="305"/>
    </row>
    <row r="38" spans="1:12" ht="16.05" customHeight="1">
      <c r="A38" s="503"/>
      <c r="B38" s="463"/>
      <c r="C38" s="463"/>
      <c r="D38" s="463"/>
      <c r="E38" s="463"/>
      <c r="F38" s="463"/>
      <c r="G38" s="533"/>
      <c r="H38" s="34"/>
      <c r="I38" s="541"/>
      <c r="J38" s="542"/>
      <c r="K38" s="542"/>
      <c r="L38" s="543"/>
    </row>
    <row r="39" spans="1:12" ht="19.05" customHeight="1">
      <c r="A39" s="553"/>
      <c r="B39" s="554"/>
      <c r="C39" s="554"/>
      <c r="D39" s="554"/>
      <c r="E39" s="554"/>
      <c r="F39" s="554"/>
      <c r="G39" s="555"/>
      <c r="I39" s="365"/>
      <c r="J39" s="366"/>
      <c r="K39" s="366"/>
      <c r="L39" s="544"/>
    </row>
    <row r="40" spans="1:12" ht="19.05" customHeight="1">
      <c r="A40" s="522"/>
      <c r="B40" s="523"/>
      <c r="C40" s="523"/>
      <c r="D40" s="523"/>
      <c r="E40" s="523"/>
      <c r="F40" s="523"/>
      <c r="G40" s="524"/>
      <c r="I40" s="365"/>
      <c r="J40" s="366"/>
      <c r="K40" s="366"/>
      <c r="L40" s="544"/>
    </row>
    <row r="41" spans="1:12" ht="19.05" customHeight="1">
      <c r="A41" s="178"/>
      <c r="B41" s="179"/>
      <c r="C41" s="179"/>
      <c r="D41" s="179"/>
      <c r="E41" s="179"/>
      <c r="F41" s="179"/>
      <c r="G41" s="180"/>
      <c r="I41" s="349"/>
      <c r="J41" s="350"/>
      <c r="K41" s="350"/>
      <c r="L41" s="545"/>
    </row>
    <row r="42" spans="1:12" ht="16.05" customHeight="1"/>
    <row r="43" spans="1:12" ht="16.05" customHeight="1"/>
    <row r="44" spans="1:12" ht="16.05" customHeight="1"/>
    <row r="45" spans="1:12">
      <c r="H45" s="36"/>
    </row>
  </sheetData>
  <mergeCells count="100">
    <mergeCell ref="J1:L1"/>
    <mergeCell ref="J2:L2"/>
    <mergeCell ref="J3:L3"/>
    <mergeCell ref="C5:D5"/>
    <mergeCell ref="C6:D6"/>
    <mergeCell ref="C7:H7"/>
    <mergeCell ref="A10:B10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  <mergeCell ref="H13:L13"/>
    <mergeCell ref="A15:G15"/>
    <mergeCell ref="I15:L15"/>
    <mergeCell ref="A16:B16"/>
    <mergeCell ref="C16:G16"/>
    <mergeCell ref="I16:J16"/>
    <mergeCell ref="K16:L16"/>
    <mergeCell ref="A17:B17"/>
    <mergeCell ref="C17:E17"/>
    <mergeCell ref="F17:G17"/>
    <mergeCell ref="A18:B18"/>
    <mergeCell ref="C18:E18"/>
    <mergeCell ref="F18:G18"/>
    <mergeCell ref="A19:B19"/>
    <mergeCell ref="C19:E19"/>
    <mergeCell ref="F19:G19"/>
    <mergeCell ref="A20:B20"/>
    <mergeCell ref="C20:E20"/>
    <mergeCell ref="F20:G20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D24:F24"/>
    <mergeCell ref="G24:H24"/>
    <mergeCell ref="I24:L24"/>
    <mergeCell ref="D25:F25"/>
    <mergeCell ref="G25:H25"/>
    <mergeCell ref="I25:L25"/>
    <mergeCell ref="D26:F26"/>
    <mergeCell ref="G26:H26"/>
    <mergeCell ref="I26:L26"/>
    <mergeCell ref="I32:L32"/>
    <mergeCell ref="D27:F27"/>
    <mergeCell ref="G27:H27"/>
    <mergeCell ref="I27:L27"/>
    <mergeCell ref="A28:B28"/>
    <mergeCell ref="E28:F28"/>
    <mergeCell ref="G28:H28"/>
    <mergeCell ref="A39:G39"/>
    <mergeCell ref="A29:B29"/>
    <mergeCell ref="D29:F29"/>
    <mergeCell ref="G29:H29"/>
    <mergeCell ref="I29:L29"/>
    <mergeCell ref="A35:F35"/>
    <mergeCell ref="G35:H35"/>
    <mergeCell ref="I35:L35"/>
    <mergeCell ref="D30:F30"/>
    <mergeCell ref="G30:H30"/>
    <mergeCell ref="I30:L30"/>
    <mergeCell ref="D31:F31"/>
    <mergeCell ref="G31:H31"/>
    <mergeCell ref="I31:L31"/>
    <mergeCell ref="D32:F32"/>
    <mergeCell ref="G32:H32"/>
    <mergeCell ref="A36:B36"/>
    <mergeCell ref="D36:F36"/>
    <mergeCell ref="G36:H36"/>
    <mergeCell ref="I36:L36"/>
    <mergeCell ref="G34:H34"/>
    <mergeCell ref="I34:L34"/>
    <mergeCell ref="A40:G40"/>
    <mergeCell ref="A1:B3"/>
    <mergeCell ref="C1:I3"/>
    <mergeCell ref="I17:J20"/>
    <mergeCell ref="K17:L20"/>
    <mergeCell ref="A23:B27"/>
    <mergeCell ref="A30:B34"/>
    <mergeCell ref="A37:G38"/>
    <mergeCell ref="I37:J38"/>
    <mergeCell ref="K37:L38"/>
    <mergeCell ref="I39:J41"/>
    <mergeCell ref="K39:L41"/>
    <mergeCell ref="D33:F33"/>
    <mergeCell ref="G33:H33"/>
    <mergeCell ref="I33:L33"/>
    <mergeCell ref="D34:F34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X45"/>
  <sheetViews>
    <sheetView showGridLines="0" view="pageBreakPreview" topLeftCell="A14" zoomScaleNormal="100" workbookViewId="0">
      <selection activeCell="C16" sqref="C16:G16"/>
    </sheetView>
  </sheetViews>
  <sheetFormatPr defaultColWidth="9" defaultRowHeight="13.8"/>
  <cols>
    <col min="1" max="1" width="3.5546875" style="26" customWidth="1"/>
    <col min="2" max="2" width="12.109375" style="26" customWidth="1"/>
    <col min="3" max="3" width="14.109375" style="26" customWidth="1"/>
    <col min="4" max="4" width="7.88671875" style="26" customWidth="1"/>
    <col min="5" max="5" width="6.77734375" style="26" customWidth="1"/>
    <col min="6" max="6" width="10.33203125" style="26" customWidth="1"/>
    <col min="7" max="7" width="12.21875" style="26" customWidth="1"/>
    <col min="8" max="8" width="1.88671875" style="26" customWidth="1"/>
    <col min="9" max="9" width="13.33203125" style="26" customWidth="1"/>
    <col min="10" max="10" width="6.21875" style="26" customWidth="1"/>
    <col min="11" max="11" width="9.88671875" style="26" customWidth="1"/>
    <col min="12" max="12" width="7.5546875" style="26" customWidth="1"/>
    <col min="13" max="13" width="9" style="26"/>
    <col min="14" max="14" width="16.21875" style="26" customWidth="1"/>
    <col min="15" max="15" width="29" style="26" customWidth="1"/>
    <col min="16" max="16" width="9.77734375" style="26" customWidth="1"/>
    <col min="17" max="16384" width="9" style="26"/>
  </cols>
  <sheetData>
    <row r="1" spans="1:24" ht="16.2" customHeight="1">
      <c r="A1" s="525"/>
      <c r="B1" s="526"/>
      <c r="C1" s="320" t="s">
        <v>85</v>
      </c>
      <c r="D1" s="320"/>
      <c r="E1" s="320"/>
      <c r="F1" s="320"/>
      <c r="G1" s="320"/>
      <c r="H1" s="320"/>
      <c r="I1" s="320"/>
      <c r="J1" s="582" t="s">
        <v>86</v>
      </c>
      <c r="K1" s="583"/>
      <c r="L1" s="584"/>
    </row>
    <row r="2" spans="1:24" ht="16.2" customHeight="1">
      <c r="A2" s="527"/>
      <c r="B2" s="528"/>
      <c r="C2" s="398"/>
      <c r="D2" s="398"/>
      <c r="E2" s="398"/>
      <c r="F2" s="398"/>
      <c r="G2" s="398"/>
      <c r="H2" s="398"/>
      <c r="I2" s="398"/>
      <c r="J2" s="585" t="s">
        <v>87</v>
      </c>
      <c r="K2" s="586"/>
      <c r="L2" s="587"/>
      <c r="N2" s="26" t="str">
        <f>[1]In!J5</f>
        <v>SX2311007</v>
      </c>
    </row>
    <row r="3" spans="1:24" ht="16.2" customHeight="1">
      <c r="A3" s="529"/>
      <c r="B3" s="530"/>
      <c r="C3" s="401"/>
      <c r="D3" s="401"/>
      <c r="E3" s="401"/>
      <c r="F3" s="401"/>
      <c r="G3" s="401"/>
      <c r="H3" s="401"/>
      <c r="I3" s="401"/>
      <c r="J3" s="588" t="s">
        <v>88</v>
      </c>
      <c r="K3" s="589"/>
      <c r="L3" s="590"/>
    </row>
    <row r="4" spans="1:24" ht="15" customHeight="1">
      <c r="A4" s="34"/>
    </row>
    <row r="5" spans="1:24" ht="15" customHeight="1">
      <c r="A5" s="83" t="s">
        <v>89</v>
      </c>
      <c r="C5" s="581">
        <f>In!C8</f>
        <v>0</v>
      </c>
      <c r="D5" s="581"/>
      <c r="E5" s="264"/>
      <c r="F5" s="264"/>
      <c r="G5" s="264"/>
      <c r="H5" s="264"/>
      <c r="I5" s="83" t="s">
        <v>3</v>
      </c>
      <c r="J5" s="267">
        <f>In!C9</f>
        <v>0</v>
      </c>
      <c r="K5" s="266"/>
      <c r="U5" s="26" t="s">
        <v>59</v>
      </c>
      <c r="V5" s="26" t="s">
        <v>60</v>
      </c>
      <c r="W5" s="26" t="s">
        <v>61</v>
      </c>
      <c r="X5" s="26" t="s">
        <v>62</v>
      </c>
    </row>
    <row r="6" spans="1:24" ht="15" customHeight="1">
      <c r="A6" s="83" t="s">
        <v>90</v>
      </c>
      <c r="C6" s="591">
        <f>In!C7</f>
        <v>0</v>
      </c>
      <c r="D6" s="591"/>
      <c r="E6" s="265"/>
      <c r="F6" s="265"/>
      <c r="G6" s="265"/>
      <c r="H6" s="264"/>
      <c r="I6" s="83" t="s">
        <v>91</v>
      </c>
      <c r="J6" s="268" t="s">
        <v>127</v>
      </c>
      <c r="K6" s="266"/>
    </row>
    <row r="7" spans="1:24" ht="15" customHeight="1">
      <c r="A7" s="83" t="s">
        <v>92</v>
      </c>
      <c r="C7" s="581">
        <f>In!C6</f>
        <v>0</v>
      </c>
      <c r="D7" s="581"/>
      <c r="E7" s="581"/>
      <c r="F7" s="581"/>
      <c r="G7" s="581"/>
      <c r="H7" s="581"/>
      <c r="I7" s="83" t="s">
        <v>93</v>
      </c>
      <c r="J7" s="174" t="s">
        <v>341</v>
      </c>
    </row>
    <row r="8" spans="1:24" ht="15" customHeight="1">
      <c r="A8" s="83" t="s">
        <v>94</v>
      </c>
      <c r="B8" s="36"/>
      <c r="C8" s="266">
        <f>In!C5</f>
        <v>0</v>
      </c>
      <c r="D8" s="266"/>
      <c r="E8" s="266"/>
      <c r="F8" s="266"/>
      <c r="G8" s="266"/>
      <c r="H8" s="266"/>
      <c r="I8" s="83" t="s">
        <v>95</v>
      </c>
      <c r="J8" s="174" t="s">
        <v>341</v>
      </c>
    </row>
    <row r="9" spans="1:24" ht="15" customHeight="1">
      <c r="A9" s="83"/>
      <c r="B9" s="36"/>
      <c r="I9" s="36"/>
    </row>
    <row r="10" spans="1:24" ht="15" customHeight="1">
      <c r="A10" s="444"/>
      <c r="B10" s="445"/>
      <c r="C10" s="385" t="s">
        <v>96</v>
      </c>
      <c r="D10" s="385"/>
      <c r="E10" s="385"/>
      <c r="F10" s="385"/>
      <c r="G10" s="385"/>
      <c r="H10" s="385" t="s">
        <v>97</v>
      </c>
      <c r="I10" s="385"/>
      <c r="J10" s="385"/>
      <c r="K10" s="385"/>
      <c r="L10" s="305"/>
    </row>
    <row r="11" spans="1:24" ht="15" customHeight="1">
      <c r="A11" s="579" t="s">
        <v>98</v>
      </c>
      <c r="B11" s="331"/>
      <c r="C11" s="366" t="s">
        <v>313</v>
      </c>
      <c r="D11" s="366"/>
      <c r="E11" s="366"/>
      <c r="F11" s="366"/>
      <c r="G11" s="366"/>
      <c r="H11" s="366" t="s">
        <v>313</v>
      </c>
      <c r="I11" s="366"/>
      <c r="J11" s="366"/>
      <c r="K11" s="366"/>
      <c r="L11" s="544"/>
    </row>
    <row r="12" spans="1:24" ht="15" customHeight="1">
      <c r="A12" s="579" t="s">
        <v>99</v>
      </c>
      <c r="B12" s="331"/>
      <c r="C12" s="366" t="s">
        <v>100</v>
      </c>
      <c r="D12" s="366"/>
      <c r="E12" s="366"/>
      <c r="F12" s="366"/>
      <c r="G12" s="366"/>
      <c r="H12" s="366" t="s">
        <v>314</v>
      </c>
      <c r="I12" s="366"/>
      <c r="J12" s="366"/>
      <c r="K12" s="366"/>
      <c r="L12" s="544"/>
    </row>
    <row r="13" spans="1:24" ht="15" customHeight="1">
      <c r="A13" s="580" t="s">
        <v>101</v>
      </c>
      <c r="B13" s="333"/>
      <c r="C13" s="350"/>
      <c r="D13" s="350"/>
      <c r="E13" s="350"/>
      <c r="F13" s="350"/>
      <c r="G13" s="350"/>
      <c r="H13" s="563"/>
      <c r="I13" s="563"/>
      <c r="J13" s="563"/>
      <c r="K13" s="563"/>
      <c r="L13" s="306"/>
    </row>
    <row r="14" spans="1:24" ht="12" customHeight="1">
      <c r="A14" s="36"/>
      <c r="B14" s="36"/>
      <c r="C14" s="36"/>
      <c r="D14" s="36"/>
      <c r="E14" s="36"/>
      <c r="H14" s="36"/>
      <c r="J14" s="36"/>
    </row>
    <row r="15" spans="1:24" ht="19.05" customHeight="1">
      <c r="A15" s="575" t="s">
        <v>131</v>
      </c>
      <c r="B15" s="576"/>
      <c r="C15" s="576"/>
      <c r="D15" s="576"/>
      <c r="E15" s="576"/>
      <c r="F15" s="576"/>
      <c r="G15" s="577"/>
      <c r="I15" s="384" t="s">
        <v>103</v>
      </c>
      <c r="J15" s="385"/>
      <c r="K15" s="385"/>
      <c r="L15" s="305"/>
    </row>
    <row r="16" spans="1:24" ht="16.95" customHeight="1">
      <c r="A16" s="592" t="s">
        <v>104</v>
      </c>
      <c r="B16" s="593"/>
      <c r="C16" s="600" t="s">
        <v>135</v>
      </c>
      <c r="D16" s="600"/>
      <c r="E16" s="600"/>
      <c r="F16" s="600"/>
      <c r="G16" s="601"/>
      <c r="I16" s="541" t="s">
        <v>105</v>
      </c>
      <c r="J16" s="542"/>
      <c r="K16" s="542" t="s">
        <v>106</v>
      </c>
      <c r="L16" s="543"/>
    </row>
    <row r="17" spans="1:14" ht="16.95" customHeight="1">
      <c r="A17" s="592" t="s">
        <v>107</v>
      </c>
      <c r="B17" s="593"/>
      <c r="C17" s="568">
        <f>'In 1'!C17</f>
        <v>0</v>
      </c>
      <c r="D17" s="568"/>
      <c r="E17" s="568"/>
      <c r="F17" s="416" t="s">
        <v>108</v>
      </c>
      <c r="G17" s="569"/>
      <c r="I17" s="137"/>
      <c r="J17" s="175"/>
      <c r="K17" s="176"/>
      <c r="L17" s="139"/>
    </row>
    <row r="18" spans="1:14" ht="16.95" customHeight="1">
      <c r="A18" s="592" t="s">
        <v>109</v>
      </c>
      <c r="B18" s="593"/>
      <c r="C18" s="568">
        <f>'In 1'!C18</f>
        <v>0</v>
      </c>
      <c r="D18" s="568"/>
      <c r="E18" s="568"/>
      <c r="F18" s="416" t="s">
        <v>108</v>
      </c>
      <c r="G18" s="569"/>
      <c r="I18" s="503"/>
      <c r="J18" s="504"/>
      <c r="K18" s="506"/>
      <c r="L18" s="533"/>
    </row>
    <row r="19" spans="1:14" ht="16.95" customHeight="1">
      <c r="A19" s="592" t="s">
        <v>110</v>
      </c>
      <c r="B19" s="593"/>
      <c r="C19" s="568">
        <f>In!M6</f>
        <v>0</v>
      </c>
      <c r="D19" s="568"/>
      <c r="E19" s="568"/>
      <c r="F19" s="416" t="s">
        <v>12</v>
      </c>
      <c r="G19" s="569"/>
      <c r="I19" s="503"/>
      <c r="J19" s="504"/>
      <c r="K19" s="506"/>
      <c r="L19" s="533"/>
    </row>
    <row r="20" spans="1:14" ht="16.95" customHeight="1">
      <c r="A20" s="594" t="s">
        <v>111</v>
      </c>
      <c r="B20" s="595"/>
      <c r="C20" s="572">
        <f>Tráng!M9</f>
        <v>0</v>
      </c>
      <c r="D20" s="572"/>
      <c r="E20" s="572"/>
      <c r="F20" s="573" t="s">
        <v>129</v>
      </c>
      <c r="G20" s="574"/>
      <c r="I20" s="531"/>
      <c r="J20" s="532"/>
      <c r="K20" s="534"/>
      <c r="L20" s="535"/>
    </row>
    <row r="21" spans="1:14" ht="12" customHeight="1">
      <c r="A21" s="423"/>
      <c r="B21" s="423"/>
      <c r="E21" s="423"/>
      <c r="F21" s="423"/>
      <c r="G21" s="423"/>
      <c r="H21" s="423"/>
      <c r="N21" s="191"/>
    </row>
    <row r="22" spans="1:14">
      <c r="A22" s="384" t="s">
        <v>112</v>
      </c>
      <c r="B22" s="385"/>
      <c r="C22" s="106" t="s">
        <v>113</v>
      </c>
      <c r="D22" s="385" t="s">
        <v>114</v>
      </c>
      <c r="E22" s="385"/>
      <c r="F22" s="385"/>
      <c r="G22" s="385" t="s">
        <v>130</v>
      </c>
      <c r="H22" s="556"/>
      <c r="I22" s="348" t="s">
        <v>116</v>
      </c>
      <c r="J22" s="348"/>
      <c r="K22" s="348"/>
      <c r="L22" s="557"/>
    </row>
    <row r="23" spans="1:14" ht="19.95" customHeight="1">
      <c r="A23" s="536" t="s">
        <v>117</v>
      </c>
      <c r="B23" s="373"/>
      <c r="C23" s="45"/>
      <c r="D23" s="542"/>
      <c r="E23" s="542"/>
      <c r="F23" s="542"/>
      <c r="G23" s="542"/>
      <c r="H23" s="546"/>
      <c r="I23" s="528"/>
      <c r="J23" s="528"/>
      <c r="K23" s="528"/>
      <c r="L23" s="547"/>
    </row>
    <row r="24" spans="1:14" ht="19.95" customHeight="1">
      <c r="A24" s="537"/>
      <c r="B24" s="538"/>
      <c r="C24" s="45"/>
      <c r="D24" s="542"/>
      <c r="E24" s="542"/>
      <c r="F24" s="542"/>
      <c r="G24" s="542"/>
      <c r="H24" s="546"/>
      <c r="I24" s="528"/>
      <c r="J24" s="528"/>
      <c r="K24" s="528"/>
      <c r="L24" s="547"/>
    </row>
    <row r="25" spans="1:14" ht="19.95" customHeight="1">
      <c r="A25" s="537"/>
      <c r="B25" s="538"/>
      <c r="C25" s="45"/>
      <c r="D25" s="542"/>
      <c r="E25" s="542"/>
      <c r="F25" s="542"/>
      <c r="G25" s="542"/>
      <c r="H25" s="546"/>
      <c r="I25" s="528"/>
      <c r="J25" s="528"/>
      <c r="K25" s="528"/>
      <c r="L25" s="547"/>
    </row>
    <row r="26" spans="1:14" ht="19.95" customHeight="1">
      <c r="A26" s="537"/>
      <c r="B26" s="538"/>
      <c r="C26" s="45"/>
      <c r="D26" s="542"/>
      <c r="E26" s="542"/>
      <c r="F26" s="542"/>
      <c r="G26" s="542"/>
      <c r="H26" s="546"/>
      <c r="I26" s="528"/>
      <c r="J26" s="528"/>
      <c r="K26" s="528"/>
      <c r="L26" s="547"/>
    </row>
    <row r="27" spans="1:14" ht="19.95" customHeight="1">
      <c r="A27" s="537"/>
      <c r="B27" s="538"/>
      <c r="C27" s="103"/>
      <c r="D27" s="563"/>
      <c r="E27" s="563"/>
      <c r="F27" s="563"/>
      <c r="G27" s="563"/>
      <c r="H27" s="564"/>
      <c r="I27" s="530"/>
      <c r="J27" s="530"/>
      <c r="K27" s="530"/>
      <c r="L27" s="565"/>
    </row>
    <row r="28" spans="1:14" ht="12" hidden="1" customHeight="1">
      <c r="A28" s="423"/>
      <c r="B28" s="423"/>
      <c r="E28" s="423"/>
      <c r="F28" s="423"/>
      <c r="G28" s="423"/>
      <c r="H28" s="423"/>
    </row>
    <row r="29" spans="1:14">
      <c r="A29" s="384" t="s">
        <v>112</v>
      </c>
      <c r="B29" s="385"/>
      <c r="C29" s="106" t="s">
        <v>113</v>
      </c>
      <c r="D29" s="385" t="s">
        <v>114</v>
      </c>
      <c r="E29" s="385"/>
      <c r="F29" s="385"/>
      <c r="G29" s="385" t="s">
        <v>130</v>
      </c>
      <c r="H29" s="556"/>
      <c r="I29" s="348" t="s">
        <v>116</v>
      </c>
      <c r="J29" s="348"/>
      <c r="K29" s="348"/>
      <c r="L29" s="557"/>
    </row>
    <row r="30" spans="1:14" ht="19.95" customHeight="1">
      <c r="A30" s="536" t="s">
        <v>118</v>
      </c>
      <c r="B30" s="373"/>
      <c r="C30" s="45"/>
      <c r="D30" s="542"/>
      <c r="E30" s="542"/>
      <c r="F30" s="542"/>
      <c r="G30" s="542"/>
      <c r="H30" s="546"/>
      <c r="I30" s="528"/>
      <c r="J30" s="528"/>
      <c r="K30" s="528"/>
      <c r="L30" s="547"/>
    </row>
    <row r="31" spans="1:14" ht="19.95" customHeight="1">
      <c r="A31" s="537"/>
      <c r="B31" s="538"/>
      <c r="C31" s="45"/>
      <c r="D31" s="542"/>
      <c r="E31" s="542"/>
      <c r="F31" s="542"/>
      <c r="G31" s="542"/>
      <c r="H31" s="546"/>
      <c r="I31" s="528"/>
      <c r="J31" s="528"/>
      <c r="K31" s="528"/>
      <c r="L31" s="547"/>
    </row>
    <row r="32" spans="1:14" ht="19.95" customHeight="1">
      <c r="A32" s="537"/>
      <c r="B32" s="538"/>
      <c r="C32" s="45"/>
      <c r="D32" s="542"/>
      <c r="E32" s="542"/>
      <c r="F32" s="542"/>
      <c r="G32" s="542"/>
      <c r="H32" s="546"/>
      <c r="I32" s="528"/>
      <c r="J32" s="528"/>
      <c r="K32" s="528"/>
      <c r="L32" s="547"/>
    </row>
    <row r="33" spans="1:12" ht="19.95" customHeight="1">
      <c r="A33" s="537"/>
      <c r="B33" s="538"/>
      <c r="C33" s="45"/>
      <c r="D33" s="542"/>
      <c r="E33" s="542"/>
      <c r="F33" s="542"/>
      <c r="G33" s="542"/>
      <c r="H33" s="546"/>
      <c r="I33" s="528"/>
      <c r="J33" s="528"/>
      <c r="K33" s="528"/>
      <c r="L33" s="547"/>
    </row>
    <row r="34" spans="1:12" ht="19.95" customHeight="1">
      <c r="A34" s="539"/>
      <c r="B34" s="540"/>
      <c r="C34" s="177"/>
      <c r="D34" s="548"/>
      <c r="E34" s="548"/>
      <c r="F34" s="548"/>
      <c r="G34" s="548"/>
      <c r="H34" s="549"/>
      <c r="I34" s="550"/>
      <c r="J34" s="551"/>
      <c r="K34" s="551"/>
      <c r="L34" s="552"/>
    </row>
    <row r="35" spans="1:12" ht="19.95" customHeight="1">
      <c r="A35" s="558" t="s">
        <v>119</v>
      </c>
      <c r="B35" s="559"/>
      <c r="C35" s="559"/>
      <c r="D35" s="559"/>
      <c r="E35" s="559"/>
      <c r="F35" s="559"/>
      <c r="G35" s="559"/>
      <c r="H35" s="559"/>
      <c r="I35" s="560"/>
      <c r="J35" s="561"/>
      <c r="K35" s="561"/>
      <c r="L35" s="562"/>
    </row>
    <row r="36" spans="1:12" ht="12" customHeight="1">
      <c r="A36" s="423"/>
      <c r="B36" s="423"/>
      <c r="D36" s="463"/>
      <c r="E36" s="463"/>
      <c r="F36" s="463"/>
      <c r="G36" s="463"/>
      <c r="H36" s="517"/>
      <c r="I36" s="395"/>
      <c r="J36" s="395"/>
      <c r="K36" s="395"/>
      <c r="L36" s="395"/>
    </row>
    <row r="37" spans="1:12">
      <c r="A37" s="486" t="s">
        <v>116</v>
      </c>
      <c r="B37" s="487"/>
      <c r="C37" s="487"/>
      <c r="D37" s="487"/>
      <c r="E37" s="487"/>
      <c r="F37" s="487"/>
      <c r="G37" s="497"/>
      <c r="H37" s="34"/>
      <c r="I37" s="318" t="s">
        <v>120</v>
      </c>
      <c r="J37" s="385"/>
      <c r="K37" s="320" t="s">
        <v>121</v>
      </c>
      <c r="L37" s="305"/>
    </row>
    <row r="38" spans="1:12" ht="16.05" customHeight="1">
      <c r="A38" s="503"/>
      <c r="B38" s="463"/>
      <c r="C38" s="463"/>
      <c r="D38" s="463"/>
      <c r="E38" s="463"/>
      <c r="F38" s="463"/>
      <c r="G38" s="533"/>
      <c r="H38" s="34"/>
      <c r="I38" s="541"/>
      <c r="J38" s="542"/>
      <c r="K38" s="542"/>
      <c r="L38" s="543"/>
    </row>
    <row r="39" spans="1:12" ht="19.05" customHeight="1">
      <c r="A39" s="553"/>
      <c r="B39" s="554"/>
      <c r="C39" s="554"/>
      <c r="D39" s="554"/>
      <c r="E39" s="554"/>
      <c r="F39" s="554"/>
      <c r="G39" s="555"/>
      <c r="I39" s="365"/>
      <c r="J39" s="366"/>
      <c r="K39" s="366"/>
      <c r="L39" s="544"/>
    </row>
    <row r="40" spans="1:12" ht="19.05" customHeight="1">
      <c r="A40" s="522"/>
      <c r="B40" s="523"/>
      <c r="C40" s="523"/>
      <c r="D40" s="523"/>
      <c r="E40" s="523"/>
      <c r="F40" s="523"/>
      <c r="G40" s="524"/>
      <c r="I40" s="365"/>
      <c r="J40" s="366"/>
      <c r="K40" s="366"/>
      <c r="L40" s="544"/>
    </row>
    <row r="41" spans="1:12" ht="19.05" customHeight="1">
      <c r="A41" s="178"/>
      <c r="B41" s="179"/>
      <c r="C41" s="179"/>
      <c r="D41" s="179"/>
      <c r="E41" s="179"/>
      <c r="F41" s="179"/>
      <c r="G41" s="180"/>
      <c r="I41" s="349"/>
      <c r="J41" s="350"/>
      <c r="K41" s="350"/>
      <c r="L41" s="545"/>
    </row>
    <row r="42" spans="1:12" ht="16.05" customHeight="1"/>
    <row r="43" spans="1:12" ht="16.05" customHeight="1"/>
    <row r="44" spans="1:12" ht="16.05" customHeight="1"/>
    <row r="45" spans="1:12">
      <c r="H45" s="36"/>
    </row>
  </sheetData>
  <mergeCells count="100">
    <mergeCell ref="J1:L1"/>
    <mergeCell ref="J2:L2"/>
    <mergeCell ref="J3:L3"/>
    <mergeCell ref="C5:D5"/>
    <mergeCell ref="C6:D6"/>
    <mergeCell ref="C7:H7"/>
    <mergeCell ref="A10:B10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  <mergeCell ref="H13:L13"/>
    <mergeCell ref="A15:G15"/>
    <mergeCell ref="I15:L15"/>
    <mergeCell ref="A16:B16"/>
    <mergeCell ref="C16:G16"/>
    <mergeCell ref="I16:J16"/>
    <mergeCell ref="K16:L16"/>
    <mergeCell ref="A17:B17"/>
    <mergeCell ref="C17:E17"/>
    <mergeCell ref="F17:G17"/>
    <mergeCell ref="A18:B18"/>
    <mergeCell ref="C18:E18"/>
    <mergeCell ref="F18:G18"/>
    <mergeCell ref="A19:B19"/>
    <mergeCell ref="C19:E19"/>
    <mergeCell ref="F19:G19"/>
    <mergeCell ref="A20:B20"/>
    <mergeCell ref="C20:E20"/>
    <mergeCell ref="F20:G20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D24:F24"/>
    <mergeCell ref="G24:H24"/>
    <mergeCell ref="I24:L24"/>
    <mergeCell ref="D25:F25"/>
    <mergeCell ref="G25:H25"/>
    <mergeCell ref="I25:L25"/>
    <mergeCell ref="D26:F26"/>
    <mergeCell ref="G26:H26"/>
    <mergeCell ref="I26:L26"/>
    <mergeCell ref="I32:L32"/>
    <mergeCell ref="D27:F27"/>
    <mergeCell ref="G27:H27"/>
    <mergeCell ref="I27:L27"/>
    <mergeCell ref="A28:B28"/>
    <mergeCell ref="E28:F28"/>
    <mergeCell ref="G28:H28"/>
    <mergeCell ref="A39:G39"/>
    <mergeCell ref="A29:B29"/>
    <mergeCell ref="D29:F29"/>
    <mergeCell ref="G29:H29"/>
    <mergeCell ref="I29:L29"/>
    <mergeCell ref="A35:F35"/>
    <mergeCell ref="G35:H35"/>
    <mergeCell ref="I35:L35"/>
    <mergeCell ref="D30:F30"/>
    <mergeCell ref="G30:H30"/>
    <mergeCell ref="I30:L30"/>
    <mergeCell ref="D31:F31"/>
    <mergeCell ref="G31:H31"/>
    <mergeCell ref="I31:L31"/>
    <mergeCell ref="D32:F32"/>
    <mergeCell ref="G32:H32"/>
    <mergeCell ref="A36:B36"/>
    <mergeCell ref="D36:F36"/>
    <mergeCell ref="G36:H36"/>
    <mergeCell ref="I36:L36"/>
    <mergeCell ref="G34:H34"/>
    <mergeCell ref="I34:L34"/>
    <mergeCell ref="A40:G40"/>
    <mergeCell ref="A1:B3"/>
    <mergeCell ref="C1:I3"/>
    <mergeCell ref="I18:J20"/>
    <mergeCell ref="K18:L20"/>
    <mergeCell ref="A23:B27"/>
    <mergeCell ref="A30:B34"/>
    <mergeCell ref="A37:G38"/>
    <mergeCell ref="I37:J38"/>
    <mergeCell ref="K37:L38"/>
    <mergeCell ref="I39:J41"/>
    <mergeCell ref="K39:L41"/>
    <mergeCell ref="D33:F33"/>
    <mergeCell ref="G33:H33"/>
    <mergeCell ref="I33:L33"/>
    <mergeCell ref="D34:F34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FF00"/>
    <pageSetUpPr fitToPage="1"/>
  </sheetPr>
  <dimension ref="A1:X45"/>
  <sheetViews>
    <sheetView showGridLines="0" tabSelected="1" view="pageBreakPreview" zoomScaleNormal="100" workbookViewId="0">
      <selection activeCell="C17" sqref="C17:E17"/>
    </sheetView>
  </sheetViews>
  <sheetFormatPr defaultColWidth="9" defaultRowHeight="13.8"/>
  <cols>
    <col min="1" max="1" width="3.5546875" style="26" customWidth="1"/>
    <col min="2" max="2" width="12.109375" style="26" customWidth="1"/>
    <col min="3" max="3" width="14.109375" style="26" customWidth="1"/>
    <col min="4" max="4" width="7.88671875" style="26" customWidth="1"/>
    <col min="5" max="5" width="6.77734375" style="26" customWidth="1"/>
    <col min="6" max="6" width="10.33203125" style="26" customWidth="1"/>
    <col min="7" max="7" width="12.21875" style="26" customWidth="1"/>
    <col min="8" max="8" width="1.88671875" style="26" customWidth="1"/>
    <col min="9" max="9" width="13.33203125" style="26" customWidth="1"/>
    <col min="10" max="10" width="6.21875" style="26" customWidth="1"/>
    <col min="11" max="11" width="9.88671875" style="26" customWidth="1"/>
    <col min="12" max="12" width="7.5546875" style="26" customWidth="1"/>
    <col min="13" max="13" width="9" style="26"/>
    <col min="14" max="14" width="16.21875" style="26" customWidth="1"/>
    <col min="15" max="15" width="29" style="26" customWidth="1"/>
    <col min="16" max="16" width="9.77734375" style="26" customWidth="1"/>
    <col min="17" max="16384" width="9" style="26"/>
  </cols>
  <sheetData>
    <row r="1" spans="1:24" ht="16.2" customHeight="1">
      <c r="A1" s="525"/>
      <c r="B1" s="526"/>
      <c r="C1" s="320" t="s">
        <v>85</v>
      </c>
      <c r="D1" s="320"/>
      <c r="E1" s="320"/>
      <c r="F1" s="320"/>
      <c r="G1" s="320"/>
      <c r="H1" s="320"/>
      <c r="I1" s="320"/>
      <c r="J1" s="582" t="s">
        <v>86</v>
      </c>
      <c r="K1" s="583"/>
      <c r="L1" s="584"/>
    </row>
    <row r="2" spans="1:24" ht="16.2" customHeight="1">
      <c r="A2" s="527"/>
      <c r="B2" s="528"/>
      <c r="C2" s="398"/>
      <c r="D2" s="398"/>
      <c r="E2" s="398"/>
      <c r="F2" s="398"/>
      <c r="G2" s="398"/>
      <c r="H2" s="398"/>
      <c r="I2" s="398"/>
      <c r="J2" s="585" t="s">
        <v>87</v>
      </c>
      <c r="K2" s="586"/>
      <c r="L2" s="587"/>
    </row>
    <row r="3" spans="1:24" ht="16.2" customHeight="1">
      <c r="A3" s="529"/>
      <c r="B3" s="530"/>
      <c r="C3" s="401"/>
      <c r="D3" s="401"/>
      <c r="E3" s="401"/>
      <c r="F3" s="401"/>
      <c r="G3" s="401"/>
      <c r="H3" s="401"/>
      <c r="I3" s="401"/>
      <c r="J3" s="588" t="s">
        <v>88</v>
      </c>
      <c r="K3" s="589"/>
      <c r="L3" s="590"/>
    </row>
    <row r="4" spans="1:24" ht="15" customHeight="1">
      <c r="A4" s="34"/>
    </row>
    <row r="5" spans="1:24" ht="15" customHeight="1">
      <c r="A5" s="83" t="s">
        <v>89</v>
      </c>
      <c r="C5" s="581">
        <f>In!C8</f>
        <v>0</v>
      </c>
      <c r="D5" s="581"/>
      <c r="E5" s="264"/>
      <c r="F5" s="264"/>
      <c r="G5" s="264"/>
      <c r="H5" s="264"/>
      <c r="I5" s="83" t="s">
        <v>3</v>
      </c>
      <c r="J5" s="267">
        <f>In!C9</f>
        <v>0</v>
      </c>
      <c r="K5" s="266"/>
      <c r="U5" s="26" t="s">
        <v>59</v>
      </c>
      <c r="V5" s="26" t="s">
        <v>60</v>
      </c>
      <c r="W5" s="26" t="s">
        <v>61</v>
      </c>
      <c r="X5" s="26" t="s">
        <v>62</v>
      </c>
    </row>
    <row r="6" spans="1:24" ht="15" customHeight="1">
      <c r="A6" s="83" t="s">
        <v>90</v>
      </c>
      <c r="C6" s="591">
        <f>In!C7</f>
        <v>0</v>
      </c>
      <c r="D6" s="591"/>
      <c r="E6" s="265"/>
      <c r="F6" s="265"/>
      <c r="G6" s="265"/>
      <c r="H6" s="264"/>
      <c r="I6" s="83" t="s">
        <v>91</v>
      </c>
      <c r="J6" s="268" t="s">
        <v>132</v>
      </c>
      <c r="K6" s="266"/>
    </row>
    <row r="7" spans="1:24" ht="15" customHeight="1">
      <c r="A7" s="83" t="s">
        <v>92</v>
      </c>
      <c r="C7" s="581">
        <f>In!C6</f>
        <v>0</v>
      </c>
      <c r="D7" s="581"/>
      <c r="E7" s="581"/>
      <c r="F7" s="581"/>
      <c r="G7" s="581"/>
      <c r="H7" s="581"/>
      <c r="I7" s="83" t="s">
        <v>93</v>
      </c>
      <c r="J7" s="174" t="s">
        <v>341</v>
      </c>
    </row>
    <row r="8" spans="1:24" ht="15" customHeight="1">
      <c r="A8" s="83" t="s">
        <v>94</v>
      </c>
      <c r="B8" s="36"/>
      <c r="C8" s="266">
        <f>In!C5</f>
        <v>0</v>
      </c>
      <c r="D8" s="266"/>
      <c r="E8" s="266"/>
      <c r="F8" s="266"/>
      <c r="G8" s="266"/>
      <c r="H8" s="266"/>
      <c r="I8" s="83" t="s">
        <v>95</v>
      </c>
      <c r="J8" s="174" t="s">
        <v>341</v>
      </c>
    </row>
    <row r="9" spans="1:24" ht="15" customHeight="1">
      <c r="A9" s="83"/>
      <c r="B9" s="36"/>
      <c r="I9" s="36"/>
    </row>
    <row r="10" spans="1:24" ht="15" customHeight="1">
      <c r="A10" s="444"/>
      <c r="B10" s="445"/>
      <c r="C10" s="385" t="s">
        <v>96</v>
      </c>
      <c r="D10" s="385"/>
      <c r="E10" s="385"/>
      <c r="F10" s="385"/>
      <c r="G10" s="385"/>
      <c r="H10" s="385" t="s">
        <v>97</v>
      </c>
      <c r="I10" s="385"/>
      <c r="J10" s="385"/>
      <c r="K10" s="385"/>
      <c r="L10" s="305"/>
    </row>
    <row r="11" spans="1:24" ht="15" customHeight="1">
      <c r="A11" s="579" t="s">
        <v>98</v>
      </c>
      <c r="B11" s="331"/>
      <c r="C11" s="366" t="s">
        <v>313</v>
      </c>
      <c r="D11" s="366"/>
      <c r="E11" s="366"/>
      <c r="F11" s="366"/>
      <c r="G11" s="366"/>
      <c r="H11" s="366" t="s">
        <v>313</v>
      </c>
      <c r="I11" s="366"/>
      <c r="J11" s="366"/>
      <c r="K11" s="366"/>
      <c r="L11" s="544"/>
    </row>
    <row r="12" spans="1:24" ht="15" customHeight="1">
      <c r="A12" s="579" t="s">
        <v>99</v>
      </c>
      <c r="B12" s="331"/>
      <c r="C12" s="366" t="s">
        <v>100</v>
      </c>
      <c r="D12" s="366"/>
      <c r="E12" s="366"/>
      <c r="F12" s="366"/>
      <c r="G12" s="366"/>
      <c r="H12" s="366" t="s">
        <v>314</v>
      </c>
      <c r="I12" s="366"/>
      <c r="J12" s="366"/>
      <c r="K12" s="366"/>
      <c r="L12" s="544"/>
    </row>
    <row r="13" spans="1:24" ht="15" customHeight="1">
      <c r="A13" s="580" t="s">
        <v>101</v>
      </c>
      <c r="B13" s="333"/>
      <c r="C13" s="350"/>
      <c r="D13" s="350"/>
      <c r="E13" s="350"/>
      <c r="F13" s="350"/>
      <c r="G13" s="350"/>
      <c r="H13" s="563"/>
      <c r="I13" s="563"/>
      <c r="J13" s="563"/>
      <c r="K13" s="563"/>
      <c r="L13" s="306"/>
    </row>
    <row r="14" spans="1:24" ht="12" customHeight="1">
      <c r="A14" s="36"/>
      <c r="B14" s="36"/>
      <c r="C14" s="36"/>
      <c r="D14" s="36"/>
      <c r="E14" s="36"/>
      <c r="H14" s="36"/>
      <c r="J14" s="36"/>
    </row>
    <row r="15" spans="1:24" ht="19.05" customHeight="1">
      <c r="A15" s="575" t="s">
        <v>133</v>
      </c>
      <c r="B15" s="576"/>
      <c r="C15" s="576"/>
      <c r="D15" s="576"/>
      <c r="E15" s="576"/>
      <c r="F15" s="576"/>
      <c r="G15" s="577"/>
      <c r="I15" s="384" t="s">
        <v>103</v>
      </c>
      <c r="J15" s="385"/>
      <c r="K15" s="385"/>
      <c r="L15" s="305"/>
    </row>
    <row r="16" spans="1:24" ht="16.95" customHeight="1">
      <c r="A16" s="592" t="s">
        <v>104</v>
      </c>
      <c r="B16" s="593"/>
      <c r="C16" s="600" t="s">
        <v>135</v>
      </c>
      <c r="D16" s="600"/>
      <c r="E16" s="600"/>
      <c r="F16" s="600"/>
      <c r="G16" s="601"/>
      <c r="I16" s="605" t="s">
        <v>105</v>
      </c>
      <c r="J16" s="548"/>
      <c r="K16" s="548" t="s">
        <v>106</v>
      </c>
      <c r="L16" s="606"/>
    </row>
    <row r="17" spans="1:14" ht="16.95" customHeight="1">
      <c r="A17" s="592" t="s">
        <v>107</v>
      </c>
      <c r="B17" s="593"/>
      <c r="C17" s="604">
        <f>'In 1'!C17</f>
        <v>0</v>
      </c>
      <c r="D17" s="604"/>
      <c r="E17" s="604"/>
      <c r="F17" s="416" t="s">
        <v>108</v>
      </c>
      <c r="G17" s="569"/>
      <c r="I17" s="181"/>
      <c r="J17" s="182"/>
      <c r="K17" s="183"/>
      <c r="L17" s="184"/>
    </row>
    <row r="18" spans="1:14" ht="16.95" customHeight="1">
      <c r="A18" s="592" t="s">
        <v>109</v>
      </c>
      <c r="B18" s="593"/>
      <c r="C18" s="604">
        <f>'In 1'!C18</f>
        <v>0</v>
      </c>
      <c r="D18" s="604"/>
      <c r="E18" s="604"/>
      <c r="F18" s="416" t="s">
        <v>108</v>
      </c>
      <c r="G18" s="569"/>
      <c r="I18" s="500"/>
      <c r="J18" s="502"/>
      <c r="K18" s="505"/>
      <c r="L18" s="599"/>
    </row>
    <row r="19" spans="1:14" ht="16.95" customHeight="1">
      <c r="A19" s="592" t="s">
        <v>110</v>
      </c>
      <c r="B19" s="593"/>
      <c r="C19" s="568">
        <f>In!M6</f>
        <v>0</v>
      </c>
      <c r="D19" s="568"/>
      <c r="E19" s="568"/>
      <c r="F19" s="416" t="s">
        <v>12</v>
      </c>
      <c r="G19" s="569"/>
      <c r="I19" s="503"/>
      <c r="J19" s="504"/>
      <c r="K19" s="506"/>
      <c r="L19" s="533"/>
    </row>
    <row r="20" spans="1:14" ht="16.95" customHeight="1">
      <c r="A20" s="594" t="s">
        <v>111</v>
      </c>
      <c r="B20" s="595"/>
      <c r="C20" s="602">
        <f>Tráng!M9</f>
        <v>0</v>
      </c>
      <c r="D20" s="603"/>
      <c r="E20" s="603"/>
      <c r="F20" s="573" t="s">
        <v>129</v>
      </c>
      <c r="G20" s="574"/>
      <c r="I20" s="531"/>
      <c r="J20" s="532"/>
      <c r="K20" s="534"/>
      <c r="L20" s="535"/>
    </row>
    <row r="21" spans="1:14" ht="12" customHeight="1">
      <c r="A21" s="423"/>
      <c r="B21" s="423"/>
      <c r="E21" s="423"/>
      <c r="F21" s="423"/>
      <c r="G21" s="423"/>
      <c r="H21" s="423"/>
      <c r="N21" s="191"/>
    </row>
    <row r="22" spans="1:14">
      <c r="A22" s="384" t="s">
        <v>112</v>
      </c>
      <c r="B22" s="385"/>
      <c r="C22" s="106" t="s">
        <v>113</v>
      </c>
      <c r="D22" s="385" t="s">
        <v>114</v>
      </c>
      <c r="E22" s="385"/>
      <c r="F22" s="385"/>
      <c r="G22" s="385" t="s">
        <v>130</v>
      </c>
      <c r="H22" s="556"/>
      <c r="I22" s="348" t="s">
        <v>116</v>
      </c>
      <c r="J22" s="348"/>
      <c r="K22" s="348"/>
      <c r="L22" s="557"/>
    </row>
    <row r="23" spans="1:14" ht="19.95" customHeight="1">
      <c r="A23" s="536" t="s">
        <v>117</v>
      </c>
      <c r="B23" s="373"/>
      <c r="C23" s="45"/>
      <c r="D23" s="542"/>
      <c r="E23" s="542"/>
      <c r="F23" s="542"/>
      <c r="G23" s="542"/>
      <c r="H23" s="546"/>
      <c r="I23" s="528"/>
      <c r="J23" s="528"/>
      <c r="K23" s="528"/>
      <c r="L23" s="547"/>
    </row>
    <row r="24" spans="1:14" ht="19.95" customHeight="1">
      <c r="A24" s="537"/>
      <c r="B24" s="538"/>
      <c r="C24" s="45"/>
      <c r="D24" s="542"/>
      <c r="E24" s="542"/>
      <c r="F24" s="542"/>
      <c r="G24" s="542"/>
      <c r="H24" s="546"/>
      <c r="I24" s="528"/>
      <c r="J24" s="528"/>
      <c r="K24" s="528"/>
      <c r="L24" s="547"/>
    </row>
    <row r="25" spans="1:14" ht="19.95" customHeight="1">
      <c r="A25" s="537"/>
      <c r="B25" s="538"/>
      <c r="C25" s="45"/>
      <c r="D25" s="542"/>
      <c r="E25" s="542"/>
      <c r="F25" s="542"/>
      <c r="G25" s="542"/>
      <c r="H25" s="546"/>
      <c r="I25" s="528"/>
      <c r="J25" s="528"/>
      <c r="K25" s="528"/>
      <c r="L25" s="547"/>
    </row>
    <row r="26" spans="1:14" ht="19.95" customHeight="1">
      <c r="A26" s="537"/>
      <c r="B26" s="538"/>
      <c r="C26" s="45"/>
      <c r="D26" s="542"/>
      <c r="E26" s="542"/>
      <c r="F26" s="542"/>
      <c r="G26" s="542"/>
      <c r="H26" s="546"/>
      <c r="I26" s="528"/>
      <c r="J26" s="528"/>
      <c r="K26" s="528"/>
      <c r="L26" s="547"/>
    </row>
    <row r="27" spans="1:14" ht="19.95" customHeight="1">
      <c r="A27" s="537"/>
      <c r="B27" s="538"/>
      <c r="C27" s="103"/>
      <c r="D27" s="563"/>
      <c r="E27" s="563"/>
      <c r="F27" s="563"/>
      <c r="G27" s="563"/>
      <c r="H27" s="564"/>
      <c r="I27" s="530"/>
      <c r="J27" s="530"/>
      <c r="K27" s="530"/>
      <c r="L27" s="565"/>
    </row>
    <row r="28" spans="1:14" ht="12" hidden="1" customHeight="1">
      <c r="A28" s="423"/>
      <c r="B28" s="423"/>
      <c r="E28" s="423"/>
      <c r="F28" s="423"/>
      <c r="G28" s="423"/>
      <c r="H28" s="423"/>
    </row>
    <row r="29" spans="1:14">
      <c r="A29" s="384" t="s">
        <v>112</v>
      </c>
      <c r="B29" s="385"/>
      <c r="C29" s="106" t="s">
        <v>113</v>
      </c>
      <c r="D29" s="385" t="s">
        <v>114</v>
      </c>
      <c r="E29" s="385"/>
      <c r="F29" s="385"/>
      <c r="G29" s="385" t="s">
        <v>130</v>
      </c>
      <c r="H29" s="556"/>
      <c r="I29" s="348" t="s">
        <v>116</v>
      </c>
      <c r="J29" s="348"/>
      <c r="K29" s="348"/>
      <c r="L29" s="557"/>
    </row>
    <row r="30" spans="1:14" ht="19.95" customHeight="1">
      <c r="A30" s="536" t="s">
        <v>118</v>
      </c>
      <c r="B30" s="373"/>
      <c r="C30" s="45"/>
      <c r="D30" s="542"/>
      <c r="E30" s="542"/>
      <c r="F30" s="542"/>
      <c r="G30" s="542"/>
      <c r="H30" s="546"/>
      <c r="I30" s="528"/>
      <c r="J30" s="528"/>
      <c r="K30" s="528"/>
      <c r="L30" s="547"/>
    </row>
    <row r="31" spans="1:14" ht="19.95" customHeight="1">
      <c r="A31" s="537"/>
      <c r="B31" s="538"/>
      <c r="C31" s="45"/>
      <c r="D31" s="542"/>
      <c r="E31" s="542"/>
      <c r="F31" s="542"/>
      <c r="G31" s="542"/>
      <c r="H31" s="546"/>
      <c r="I31" s="528"/>
      <c r="J31" s="528"/>
      <c r="K31" s="528"/>
      <c r="L31" s="547"/>
    </row>
    <row r="32" spans="1:14" ht="19.95" customHeight="1">
      <c r="A32" s="537"/>
      <c r="B32" s="538"/>
      <c r="C32" s="45"/>
      <c r="D32" s="542"/>
      <c r="E32" s="542"/>
      <c r="F32" s="542"/>
      <c r="G32" s="542"/>
      <c r="H32" s="546"/>
      <c r="I32" s="528"/>
      <c r="J32" s="528"/>
      <c r="K32" s="528"/>
      <c r="L32" s="547"/>
    </row>
    <row r="33" spans="1:12" ht="19.95" customHeight="1">
      <c r="A33" s="537"/>
      <c r="B33" s="538"/>
      <c r="C33" s="45"/>
      <c r="D33" s="542"/>
      <c r="E33" s="542"/>
      <c r="F33" s="542"/>
      <c r="G33" s="542"/>
      <c r="H33" s="546"/>
      <c r="I33" s="528"/>
      <c r="J33" s="528"/>
      <c r="K33" s="528"/>
      <c r="L33" s="547"/>
    </row>
    <row r="34" spans="1:12" ht="19.95" customHeight="1">
      <c r="A34" s="539"/>
      <c r="B34" s="540"/>
      <c r="C34" s="177"/>
      <c r="D34" s="548"/>
      <c r="E34" s="548"/>
      <c r="F34" s="548"/>
      <c r="G34" s="548"/>
      <c r="H34" s="549"/>
      <c r="I34" s="550"/>
      <c r="J34" s="551"/>
      <c r="K34" s="551"/>
      <c r="L34" s="552"/>
    </row>
    <row r="35" spans="1:12" ht="19.95" customHeight="1">
      <c r="A35" s="558" t="s">
        <v>119</v>
      </c>
      <c r="B35" s="559"/>
      <c r="C35" s="559"/>
      <c r="D35" s="559"/>
      <c r="E35" s="559"/>
      <c r="F35" s="559"/>
      <c r="G35" s="559"/>
      <c r="H35" s="559"/>
      <c r="I35" s="560"/>
      <c r="J35" s="561"/>
      <c r="K35" s="561"/>
      <c r="L35" s="562"/>
    </row>
    <row r="36" spans="1:12" ht="12" customHeight="1">
      <c r="A36" s="423"/>
      <c r="B36" s="423"/>
      <c r="D36" s="463"/>
      <c r="E36" s="463"/>
      <c r="F36" s="463"/>
      <c r="G36" s="463"/>
      <c r="H36" s="517"/>
      <c r="I36" s="395"/>
      <c r="J36" s="395"/>
      <c r="K36" s="395"/>
      <c r="L36" s="395"/>
    </row>
    <row r="37" spans="1:12">
      <c r="A37" s="486" t="s">
        <v>116</v>
      </c>
      <c r="B37" s="487"/>
      <c r="C37" s="487"/>
      <c r="D37" s="487"/>
      <c r="E37" s="487"/>
      <c r="F37" s="487"/>
      <c r="G37" s="497"/>
      <c r="H37" s="34"/>
      <c r="I37" s="318" t="s">
        <v>120</v>
      </c>
      <c r="J37" s="385"/>
      <c r="K37" s="320" t="s">
        <v>121</v>
      </c>
      <c r="L37" s="305"/>
    </row>
    <row r="38" spans="1:12" ht="16.05" customHeight="1">
      <c r="A38" s="503"/>
      <c r="B38" s="463"/>
      <c r="C38" s="463"/>
      <c r="D38" s="463"/>
      <c r="E38" s="463"/>
      <c r="F38" s="463"/>
      <c r="G38" s="533"/>
      <c r="H38" s="34"/>
      <c r="I38" s="541"/>
      <c r="J38" s="542"/>
      <c r="K38" s="542"/>
      <c r="L38" s="543"/>
    </row>
    <row r="39" spans="1:12" ht="19.05" customHeight="1">
      <c r="A39" s="553"/>
      <c r="B39" s="554"/>
      <c r="C39" s="554"/>
      <c r="D39" s="554"/>
      <c r="E39" s="554"/>
      <c r="F39" s="554"/>
      <c r="G39" s="555"/>
      <c r="I39" s="365"/>
      <c r="J39" s="366"/>
      <c r="K39" s="366"/>
      <c r="L39" s="544"/>
    </row>
    <row r="40" spans="1:12" ht="19.05" customHeight="1">
      <c r="A40" s="522"/>
      <c r="B40" s="523"/>
      <c r="C40" s="523"/>
      <c r="D40" s="523"/>
      <c r="E40" s="523"/>
      <c r="F40" s="523"/>
      <c r="G40" s="524"/>
      <c r="I40" s="365"/>
      <c r="J40" s="366"/>
      <c r="K40" s="366"/>
      <c r="L40" s="544"/>
    </row>
    <row r="41" spans="1:12" ht="19.05" customHeight="1">
      <c r="A41" s="178"/>
      <c r="B41" s="179"/>
      <c r="C41" s="179"/>
      <c r="D41" s="179"/>
      <c r="E41" s="179"/>
      <c r="F41" s="179"/>
      <c r="G41" s="180"/>
      <c r="I41" s="349"/>
      <c r="J41" s="350"/>
      <c r="K41" s="350"/>
      <c r="L41" s="545"/>
    </row>
    <row r="42" spans="1:12" ht="16.05" customHeight="1"/>
    <row r="43" spans="1:12" ht="16.05" customHeight="1"/>
    <row r="44" spans="1:12" ht="16.05" customHeight="1"/>
    <row r="45" spans="1:12">
      <c r="H45" s="36"/>
    </row>
  </sheetData>
  <mergeCells count="100">
    <mergeCell ref="J1:L1"/>
    <mergeCell ref="J2:L2"/>
    <mergeCell ref="J3:L3"/>
    <mergeCell ref="C5:D5"/>
    <mergeCell ref="C6:D6"/>
    <mergeCell ref="C7:H7"/>
    <mergeCell ref="A10:B10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  <mergeCell ref="H13:L13"/>
    <mergeCell ref="A15:G15"/>
    <mergeCell ref="I15:L15"/>
    <mergeCell ref="A16:B16"/>
    <mergeCell ref="C16:G16"/>
    <mergeCell ref="I16:J16"/>
    <mergeCell ref="K16:L16"/>
    <mergeCell ref="A17:B17"/>
    <mergeCell ref="C17:E17"/>
    <mergeCell ref="F17:G17"/>
    <mergeCell ref="A18:B18"/>
    <mergeCell ref="C18:E18"/>
    <mergeCell ref="F18:G18"/>
    <mergeCell ref="A19:B19"/>
    <mergeCell ref="C19:E19"/>
    <mergeCell ref="F19:G19"/>
    <mergeCell ref="A20:B20"/>
    <mergeCell ref="C20:E20"/>
    <mergeCell ref="F20:G20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D24:F24"/>
    <mergeCell ref="G24:H24"/>
    <mergeCell ref="I24:L24"/>
    <mergeCell ref="D25:F25"/>
    <mergeCell ref="G25:H25"/>
    <mergeCell ref="I25:L25"/>
    <mergeCell ref="D26:F26"/>
    <mergeCell ref="G26:H26"/>
    <mergeCell ref="I26:L26"/>
    <mergeCell ref="I32:L32"/>
    <mergeCell ref="D27:F27"/>
    <mergeCell ref="G27:H27"/>
    <mergeCell ref="I27:L27"/>
    <mergeCell ref="A28:B28"/>
    <mergeCell ref="E28:F28"/>
    <mergeCell ref="G28:H28"/>
    <mergeCell ref="A39:G39"/>
    <mergeCell ref="A29:B29"/>
    <mergeCell ref="D29:F29"/>
    <mergeCell ref="G29:H29"/>
    <mergeCell ref="I29:L29"/>
    <mergeCell ref="A35:F35"/>
    <mergeCell ref="G35:H35"/>
    <mergeCell ref="I35:L35"/>
    <mergeCell ref="D30:F30"/>
    <mergeCell ref="G30:H30"/>
    <mergeCell ref="I30:L30"/>
    <mergeCell ref="D31:F31"/>
    <mergeCell ref="G31:H31"/>
    <mergeCell ref="I31:L31"/>
    <mergeCell ref="D32:F32"/>
    <mergeCell ref="G32:H32"/>
    <mergeCell ref="A36:B36"/>
    <mergeCell ref="D36:F36"/>
    <mergeCell ref="G36:H36"/>
    <mergeCell ref="I36:L36"/>
    <mergeCell ref="G34:H34"/>
    <mergeCell ref="I34:L34"/>
    <mergeCell ref="A40:G40"/>
    <mergeCell ref="A1:B3"/>
    <mergeCell ref="C1:I3"/>
    <mergeCell ref="I18:J20"/>
    <mergeCell ref="K18:L20"/>
    <mergeCell ref="A23:B27"/>
    <mergeCell ref="A30:B34"/>
    <mergeCell ref="A37:G38"/>
    <mergeCell ref="I37:J38"/>
    <mergeCell ref="K37:L38"/>
    <mergeCell ref="I39:J41"/>
    <mergeCell ref="K39:L41"/>
    <mergeCell ref="D33:F33"/>
    <mergeCell ref="G33:H33"/>
    <mergeCell ref="I33:L33"/>
    <mergeCell ref="D34:F34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L45"/>
  <sheetViews>
    <sheetView showGridLines="0" view="pageBreakPreview" zoomScaleNormal="100" workbookViewId="0">
      <selection activeCell="C17" sqref="C17:E17"/>
    </sheetView>
  </sheetViews>
  <sheetFormatPr defaultColWidth="9" defaultRowHeight="13.8"/>
  <cols>
    <col min="1" max="1" width="3.5546875" style="26" customWidth="1"/>
    <col min="2" max="2" width="12.109375" style="26" customWidth="1"/>
    <col min="3" max="3" width="14.109375" style="26" customWidth="1"/>
    <col min="4" max="4" width="7.88671875" style="26" customWidth="1"/>
    <col min="5" max="5" width="6.77734375" style="26" customWidth="1"/>
    <col min="6" max="6" width="10.33203125" style="26" customWidth="1"/>
    <col min="7" max="7" width="12.21875" style="26" customWidth="1"/>
    <col min="8" max="8" width="1.88671875" style="26" customWidth="1"/>
    <col min="9" max="9" width="13.33203125" style="26" customWidth="1"/>
    <col min="10" max="10" width="6.21875" style="26" customWidth="1"/>
    <col min="11" max="11" width="9.88671875" style="26" customWidth="1"/>
    <col min="12" max="12" width="7.5546875" style="26" customWidth="1"/>
    <col min="13" max="13" width="9" style="26"/>
    <col min="14" max="14" width="2.77734375" style="26" customWidth="1"/>
    <col min="15" max="15" width="14.6640625" style="26" customWidth="1"/>
    <col min="16" max="16" width="12.109375" style="26" customWidth="1"/>
    <col min="17" max="16384" width="9" style="26"/>
  </cols>
  <sheetData>
    <row r="1" spans="1:12" ht="16.2" customHeight="1">
      <c r="A1" s="525"/>
      <c r="B1" s="526"/>
      <c r="C1" s="320" t="s">
        <v>85</v>
      </c>
      <c r="D1" s="320"/>
      <c r="E1" s="320"/>
      <c r="F1" s="320"/>
      <c r="G1" s="320"/>
      <c r="H1" s="320"/>
      <c r="I1" s="320"/>
      <c r="J1" s="582" t="s">
        <v>86</v>
      </c>
      <c r="K1" s="583"/>
      <c r="L1" s="584"/>
    </row>
    <row r="2" spans="1:12" ht="16.2" customHeight="1">
      <c r="A2" s="527"/>
      <c r="B2" s="528"/>
      <c r="C2" s="398"/>
      <c r="D2" s="398"/>
      <c r="E2" s="398"/>
      <c r="F2" s="398"/>
      <c r="G2" s="398"/>
      <c r="H2" s="398"/>
      <c r="I2" s="398"/>
      <c r="J2" s="585" t="s">
        <v>87</v>
      </c>
      <c r="K2" s="586"/>
      <c r="L2" s="587"/>
    </row>
    <row r="3" spans="1:12" ht="16.2" customHeight="1">
      <c r="A3" s="529"/>
      <c r="B3" s="530"/>
      <c r="C3" s="401"/>
      <c r="D3" s="401"/>
      <c r="E3" s="401"/>
      <c r="F3" s="401"/>
      <c r="G3" s="401"/>
      <c r="H3" s="401"/>
      <c r="I3" s="401"/>
      <c r="J3" s="588" t="s">
        <v>88</v>
      </c>
      <c r="K3" s="589"/>
      <c r="L3" s="590"/>
    </row>
    <row r="4" spans="1:12" ht="15" customHeight="1">
      <c r="A4" s="34"/>
    </row>
    <row r="5" spans="1:12" ht="15" customHeight="1">
      <c r="A5" s="83" t="s">
        <v>89</v>
      </c>
      <c r="C5" s="581">
        <f>In!C8</f>
        <v>0</v>
      </c>
      <c r="D5" s="581"/>
      <c r="E5" s="264"/>
      <c r="F5" s="264"/>
      <c r="G5" s="264"/>
      <c r="H5" s="264"/>
      <c r="I5" s="83" t="s">
        <v>3</v>
      </c>
      <c r="J5" s="267">
        <f>In!C9</f>
        <v>0</v>
      </c>
      <c r="K5" s="266"/>
    </row>
    <row r="6" spans="1:12" ht="15" customHeight="1">
      <c r="A6" s="83" t="s">
        <v>90</v>
      </c>
      <c r="C6" s="591">
        <f>In!C7</f>
        <v>0</v>
      </c>
      <c r="D6" s="591"/>
      <c r="E6" s="265"/>
      <c r="F6" s="265"/>
      <c r="G6" s="265"/>
      <c r="H6" s="264"/>
      <c r="I6" s="83" t="s">
        <v>91</v>
      </c>
      <c r="J6" s="268" t="s">
        <v>132</v>
      </c>
      <c r="K6" s="266"/>
    </row>
    <row r="7" spans="1:12" ht="15" customHeight="1">
      <c r="A7" s="83" t="s">
        <v>92</v>
      </c>
      <c r="C7" s="581">
        <f>In!C6</f>
        <v>0</v>
      </c>
      <c r="D7" s="581"/>
      <c r="E7" s="581"/>
      <c r="F7" s="581"/>
      <c r="G7" s="581"/>
      <c r="H7" s="581"/>
      <c r="I7" s="83" t="s">
        <v>93</v>
      </c>
      <c r="J7" s="174" t="s">
        <v>341</v>
      </c>
    </row>
    <row r="8" spans="1:12" ht="15" customHeight="1">
      <c r="A8" s="83" t="s">
        <v>94</v>
      </c>
      <c r="B8" s="36"/>
      <c r="C8" s="266">
        <f>In!C5</f>
        <v>0</v>
      </c>
      <c r="D8" s="266"/>
      <c r="E8" s="266"/>
      <c r="F8" s="266"/>
      <c r="G8" s="266"/>
      <c r="H8" s="266"/>
      <c r="I8" s="83" t="s">
        <v>95</v>
      </c>
      <c r="J8" s="174" t="s">
        <v>341</v>
      </c>
    </row>
    <row r="9" spans="1:12" ht="15" customHeight="1">
      <c r="A9" s="83"/>
      <c r="B9" s="36"/>
      <c r="I9" s="36"/>
    </row>
    <row r="10" spans="1:12" ht="15" customHeight="1">
      <c r="A10" s="444"/>
      <c r="B10" s="445"/>
      <c r="C10" s="385" t="s">
        <v>96</v>
      </c>
      <c r="D10" s="385"/>
      <c r="E10" s="385"/>
      <c r="F10" s="385"/>
      <c r="G10" s="385"/>
      <c r="H10" s="385" t="s">
        <v>97</v>
      </c>
      <c r="I10" s="385"/>
      <c r="J10" s="385"/>
      <c r="K10" s="385"/>
      <c r="L10" s="305"/>
    </row>
    <row r="11" spans="1:12" ht="15" customHeight="1">
      <c r="A11" s="579" t="s">
        <v>98</v>
      </c>
      <c r="B11" s="331"/>
      <c r="C11" s="366" t="s">
        <v>313</v>
      </c>
      <c r="D11" s="366"/>
      <c r="E11" s="366"/>
      <c r="F11" s="366"/>
      <c r="G11" s="366"/>
      <c r="H11" s="366" t="s">
        <v>313</v>
      </c>
      <c r="I11" s="366"/>
      <c r="J11" s="366"/>
      <c r="K11" s="366"/>
      <c r="L11" s="544"/>
    </row>
    <row r="12" spans="1:12" ht="15" customHeight="1">
      <c r="A12" s="579" t="s">
        <v>99</v>
      </c>
      <c r="B12" s="331"/>
      <c r="C12" s="366" t="s">
        <v>100</v>
      </c>
      <c r="D12" s="366"/>
      <c r="E12" s="366"/>
      <c r="F12" s="366"/>
      <c r="G12" s="366"/>
      <c r="H12" s="366" t="s">
        <v>314</v>
      </c>
      <c r="I12" s="366"/>
      <c r="J12" s="366"/>
      <c r="K12" s="366"/>
      <c r="L12" s="544"/>
    </row>
    <row r="13" spans="1:12" ht="15" customHeight="1">
      <c r="A13" s="580" t="s">
        <v>101</v>
      </c>
      <c r="B13" s="333"/>
      <c r="C13" s="350"/>
      <c r="D13" s="350"/>
      <c r="E13" s="350"/>
      <c r="F13" s="350"/>
      <c r="G13" s="350"/>
      <c r="H13" s="563"/>
      <c r="I13" s="563"/>
      <c r="J13" s="563"/>
      <c r="K13" s="563"/>
      <c r="L13" s="306"/>
    </row>
    <row r="14" spans="1:12" ht="12" customHeight="1">
      <c r="A14" s="36"/>
      <c r="B14" s="36"/>
      <c r="C14" s="36"/>
      <c r="D14" s="36"/>
      <c r="E14" s="36"/>
      <c r="H14" s="36"/>
      <c r="J14" s="36"/>
    </row>
    <row r="15" spans="1:12" ht="19.05" customHeight="1">
      <c r="A15" s="575" t="s">
        <v>134</v>
      </c>
      <c r="B15" s="576"/>
      <c r="C15" s="576"/>
      <c r="D15" s="576"/>
      <c r="E15" s="576"/>
      <c r="F15" s="576"/>
      <c r="G15" s="577"/>
      <c r="I15" s="384" t="s">
        <v>103</v>
      </c>
      <c r="J15" s="385"/>
      <c r="K15" s="385"/>
      <c r="L15" s="305"/>
    </row>
    <row r="16" spans="1:12" ht="16.95" customHeight="1">
      <c r="A16" s="607" t="s">
        <v>104</v>
      </c>
      <c r="B16" s="608"/>
      <c r="C16" s="600" t="s">
        <v>135</v>
      </c>
      <c r="D16" s="600"/>
      <c r="E16" s="600"/>
      <c r="F16" s="600"/>
      <c r="G16" s="601"/>
      <c r="I16" s="541" t="s">
        <v>105</v>
      </c>
      <c r="J16" s="542"/>
      <c r="K16" s="542" t="s">
        <v>106</v>
      </c>
      <c r="L16" s="543"/>
    </row>
    <row r="17" spans="1:12" ht="16.95" customHeight="1">
      <c r="A17" s="607" t="s">
        <v>107</v>
      </c>
      <c r="B17" s="608"/>
      <c r="C17" s="604"/>
      <c r="D17" s="604"/>
      <c r="E17" s="604"/>
      <c r="F17" s="416" t="s">
        <v>108</v>
      </c>
      <c r="G17" s="569"/>
      <c r="I17" s="137"/>
      <c r="J17" s="175"/>
      <c r="K17" s="176"/>
      <c r="L17" s="139"/>
    </row>
    <row r="18" spans="1:12" ht="16.95" customHeight="1">
      <c r="A18" s="607" t="s">
        <v>109</v>
      </c>
      <c r="B18" s="608"/>
      <c r="C18" s="604"/>
      <c r="D18" s="604"/>
      <c r="E18" s="604"/>
      <c r="F18" s="416" t="s">
        <v>108</v>
      </c>
      <c r="G18" s="569"/>
      <c r="I18" s="503"/>
      <c r="J18" s="504"/>
      <c r="K18" s="506"/>
      <c r="L18" s="533"/>
    </row>
    <row r="19" spans="1:12" ht="16.95" customHeight="1">
      <c r="A19" s="607" t="s">
        <v>110</v>
      </c>
      <c r="B19" s="608"/>
      <c r="C19" s="568">
        <f>In!M6</f>
        <v>0</v>
      </c>
      <c r="D19" s="568"/>
      <c r="E19" s="568"/>
      <c r="F19" s="339" t="s">
        <v>12</v>
      </c>
      <c r="G19" s="609"/>
      <c r="I19" s="503"/>
      <c r="J19" s="504"/>
      <c r="K19" s="506"/>
      <c r="L19" s="533"/>
    </row>
    <row r="20" spans="1:12" ht="16.95" customHeight="1">
      <c r="A20" s="610" t="s">
        <v>111</v>
      </c>
      <c r="B20" s="611"/>
      <c r="C20" s="602">
        <f>In!M9</f>
        <v>0</v>
      </c>
      <c r="D20" s="603"/>
      <c r="E20" s="603"/>
      <c r="F20" s="573" t="s">
        <v>129</v>
      </c>
      <c r="G20" s="574"/>
      <c r="I20" s="531"/>
      <c r="J20" s="532"/>
      <c r="K20" s="534"/>
      <c r="L20" s="535"/>
    </row>
    <row r="21" spans="1:12" ht="12" customHeight="1">
      <c r="A21" s="423"/>
      <c r="B21" s="423"/>
      <c r="E21" s="423"/>
      <c r="F21" s="423"/>
      <c r="G21" s="423"/>
      <c r="H21" s="423"/>
    </row>
    <row r="22" spans="1:12">
      <c r="A22" s="384" t="s">
        <v>112</v>
      </c>
      <c r="B22" s="385"/>
      <c r="C22" s="106" t="s">
        <v>113</v>
      </c>
      <c r="D22" s="385" t="s">
        <v>114</v>
      </c>
      <c r="E22" s="385"/>
      <c r="F22" s="385"/>
      <c r="G22" s="385" t="s">
        <v>130</v>
      </c>
      <c r="H22" s="556"/>
      <c r="I22" s="348" t="s">
        <v>116</v>
      </c>
      <c r="J22" s="348"/>
      <c r="K22" s="348"/>
      <c r="L22" s="557"/>
    </row>
    <row r="23" spans="1:12" ht="19.95" customHeight="1">
      <c r="A23" s="536" t="s">
        <v>117</v>
      </c>
      <c r="B23" s="373"/>
      <c r="C23" s="45"/>
      <c r="D23" s="542"/>
      <c r="E23" s="542"/>
      <c r="F23" s="542"/>
      <c r="G23" s="542"/>
      <c r="H23" s="546"/>
      <c r="I23" s="528"/>
      <c r="J23" s="528"/>
      <c r="K23" s="528"/>
      <c r="L23" s="547"/>
    </row>
    <row r="24" spans="1:12" ht="19.95" customHeight="1">
      <c r="A24" s="537"/>
      <c r="B24" s="538"/>
      <c r="C24" s="45"/>
      <c r="D24" s="542"/>
      <c r="E24" s="542"/>
      <c r="F24" s="542"/>
      <c r="G24" s="542"/>
      <c r="H24" s="546"/>
      <c r="I24" s="528"/>
      <c r="J24" s="528"/>
      <c r="K24" s="528"/>
      <c r="L24" s="547"/>
    </row>
    <row r="25" spans="1:12" ht="19.95" customHeight="1">
      <c r="A25" s="537"/>
      <c r="B25" s="538"/>
      <c r="C25" s="45"/>
      <c r="D25" s="542"/>
      <c r="E25" s="542"/>
      <c r="F25" s="542"/>
      <c r="G25" s="542"/>
      <c r="H25" s="546"/>
      <c r="I25" s="528"/>
      <c r="J25" s="528"/>
      <c r="K25" s="528"/>
      <c r="L25" s="547"/>
    </row>
    <row r="26" spans="1:12" ht="19.95" customHeight="1">
      <c r="A26" s="537"/>
      <c r="B26" s="538"/>
      <c r="C26" s="45"/>
      <c r="D26" s="542"/>
      <c r="E26" s="542"/>
      <c r="F26" s="542"/>
      <c r="G26" s="542"/>
      <c r="H26" s="546"/>
      <c r="I26" s="528"/>
      <c r="J26" s="528"/>
      <c r="K26" s="528"/>
      <c r="L26" s="547"/>
    </row>
    <row r="27" spans="1:12" ht="19.95" customHeight="1">
      <c r="A27" s="537"/>
      <c r="B27" s="538"/>
      <c r="C27" s="103"/>
      <c r="D27" s="563"/>
      <c r="E27" s="563"/>
      <c r="F27" s="563"/>
      <c r="G27" s="563"/>
      <c r="H27" s="564"/>
      <c r="I27" s="530"/>
      <c r="J27" s="530"/>
      <c r="K27" s="530"/>
      <c r="L27" s="565"/>
    </row>
    <row r="28" spans="1:12" ht="12" hidden="1" customHeight="1">
      <c r="A28" s="423"/>
      <c r="B28" s="423"/>
      <c r="E28" s="423"/>
      <c r="F28" s="423"/>
      <c r="G28" s="423"/>
      <c r="H28" s="423"/>
    </row>
    <row r="29" spans="1:12">
      <c r="A29" s="384" t="s">
        <v>112</v>
      </c>
      <c r="B29" s="385"/>
      <c r="C29" s="106" t="s">
        <v>113</v>
      </c>
      <c r="D29" s="385" t="s">
        <v>114</v>
      </c>
      <c r="E29" s="385"/>
      <c r="F29" s="385"/>
      <c r="G29" s="385" t="s">
        <v>130</v>
      </c>
      <c r="H29" s="556"/>
      <c r="I29" s="348" t="s">
        <v>116</v>
      </c>
      <c r="J29" s="348"/>
      <c r="K29" s="348"/>
      <c r="L29" s="557"/>
    </row>
    <row r="30" spans="1:12" ht="19.95" customHeight="1">
      <c r="A30" s="536" t="s">
        <v>118</v>
      </c>
      <c r="B30" s="373"/>
      <c r="C30" s="45"/>
      <c r="D30" s="542"/>
      <c r="E30" s="542"/>
      <c r="F30" s="542"/>
      <c r="G30" s="542"/>
      <c r="H30" s="546"/>
      <c r="I30" s="528"/>
      <c r="J30" s="528"/>
      <c r="K30" s="528"/>
      <c r="L30" s="547"/>
    </row>
    <row r="31" spans="1:12" ht="19.95" customHeight="1">
      <c r="A31" s="537"/>
      <c r="B31" s="538"/>
      <c r="C31" s="45"/>
      <c r="D31" s="542"/>
      <c r="E31" s="542"/>
      <c r="F31" s="542"/>
      <c r="G31" s="542"/>
      <c r="H31" s="546"/>
      <c r="I31" s="528"/>
      <c r="J31" s="528"/>
      <c r="K31" s="528"/>
      <c r="L31" s="547"/>
    </row>
    <row r="32" spans="1:12" ht="19.95" customHeight="1">
      <c r="A32" s="537"/>
      <c r="B32" s="538"/>
      <c r="C32" s="45"/>
      <c r="D32" s="542"/>
      <c r="E32" s="542"/>
      <c r="F32" s="542"/>
      <c r="G32" s="542"/>
      <c r="H32" s="546"/>
      <c r="I32" s="528"/>
      <c r="J32" s="528"/>
      <c r="K32" s="528"/>
      <c r="L32" s="547"/>
    </row>
    <row r="33" spans="1:12" ht="19.95" customHeight="1">
      <c r="A33" s="537"/>
      <c r="B33" s="538"/>
      <c r="C33" s="45"/>
      <c r="D33" s="542"/>
      <c r="E33" s="542"/>
      <c r="F33" s="542"/>
      <c r="G33" s="542"/>
      <c r="H33" s="546"/>
      <c r="I33" s="528"/>
      <c r="J33" s="528"/>
      <c r="K33" s="528"/>
      <c r="L33" s="547"/>
    </row>
    <row r="34" spans="1:12" ht="19.95" customHeight="1">
      <c r="A34" s="539"/>
      <c r="B34" s="540"/>
      <c r="C34" s="177"/>
      <c r="D34" s="548"/>
      <c r="E34" s="548"/>
      <c r="F34" s="548"/>
      <c r="G34" s="548"/>
      <c r="H34" s="549"/>
      <c r="I34" s="550"/>
      <c r="J34" s="551"/>
      <c r="K34" s="551"/>
      <c r="L34" s="552"/>
    </row>
    <row r="35" spans="1:12" ht="19.95" customHeight="1">
      <c r="A35" s="558" t="s">
        <v>119</v>
      </c>
      <c r="B35" s="559"/>
      <c r="C35" s="559"/>
      <c r="D35" s="559"/>
      <c r="E35" s="559"/>
      <c r="F35" s="559"/>
      <c r="G35" s="559"/>
      <c r="H35" s="559"/>
      <c r="I35" s="560"/>
      <c r="J35" s="561"/>
      <c r="K35" s="561"/>
      <c r="L35" s="562"/>
    </row>
    <row r="36" spans="1:12" ht="12" customHeight="1">
      <c r="A36" s="423"/>
      <c r="B36" s="423"/>
      <c r="D36" s="463"/>
      <c r="E36" s="463"/>
      <c r="F36" s="463"/>
      <c r="G36" s="463"/>
      <c r="H36" s="517"/>
      <c r="I36" s="395"/>
      <c r="J36" s="395"/>
      <c r="K36" s="395"/>
      <c r="L36" s="395"/>
    </row>
    <row r="37" spans="1:12">
      <c r="A37" s="486" t="s">
        <v>116</v>
      </c>
      <c r="B37" s="487"/>
      <c r="C37" s="487"/>
      <c r="D37" s="487"/>
      <c r="E37" s="487"/>
      <c r="F37" s="487"/>
      <c r="G37" s="497"/>
      <c r="H37" s="34"/>
      <c r="I37" s="318" t="s">
        <v>120</v>
      </c>
      <c r="J37" s="385"/>
      <c r="K37" s="320" t="s">
        <v>121</v>
      </c>
      <c r="L37" s="305"/>
    </row>
    <row r="38" spans="1:12" ht="16.05" customHeight="1">
      <c r="A38" s="503"/>
      <c r="B38" s="463"/>
      <c r="C38" s="463"/>
      <c r="D38" s="463"/>
      <c r="E38" s="463"/>
      <c r="F38" s="463"/>
      <c r="G38" s="533"/>
      <c r="H38" s="34"/>
      <c r="I38" s="541"/>
      <c r="J38" s="542"/>
      <c r="K38" s="542"/>
      <c r="L38" s="543"/>
    </row>
    <row r="39" spans="1:12" ht="19.05" customHeight="1">
      <c r="A39" s="553"/>
      <c r="B39" s="554"/>
      <c r="C39" s="554"/>
      <c r="D39" s="554"/>
      <c r="E39" s="554"/>
      <c r="F39" s="554"/>
      <c r="G39" s="555"/>
      <c r="I39" s="365"/>
      <c r="J39" s="366"/>
      <c r="K39" s="366"/>
      <c r="L39" s="544"/>
    </row>
    <row r="40" spans="1:12" ht="19.05" customHeight="1">
      <c r="A40" s="522"/>
      <c r="B40" s="523"/>
      <c r="C40" s="523"/>
      <c r="D40" s="523"/>
      <c r="E40" s="523"/>
      <c r="F40" s="523"/>
      <c r="G40" s="524"/>
      <c r="I40" s="365"/>
      <c r="J40" s="366"/>
      <c r="K40" s="366"/>
      <c r="L40" s="544"/>
    </row>
    <row r="41" spans="1:12" ht="19.05" customHeight="1">
      <c r="A41" s="178"/>
      <c r="B41" s="179"/>
      <c r="C41" s="179"/>
      <c r="D41" s="179"/>
      <c r="E41" s="179"/>
      <c r="F41" s="179"/>
      <c r="G41" s="180"/>
      <c r="I41" s="349"/>
      <c r="J41" s="350"/>
      <c r="K41" s="350"/>
      <c r="L41" s="545"/>
    </row>
    <row r="42" spans="1:12" ht="16.05" customHeight="1"/>
    <row r="43" spans="1:12" ht="16.05" customHeight="1"/>
    <row r="44" spans="1:12" ht="16.05" customHeight="1"/>
    <row r="45" spans="1:12">
      <c r="H45" s="36"/>
    </row>
  </sheetData>
  <mergeCells count="100">
    <mergeCell ref="A13:B13"/>
    <mergeCell ref="C13:G13"/>
    <mergeCell ref="H13:L13"/>
    <mergeCell ref="J1:L1"/>
    <mergeCell ref="J2:L2"/>
    <mergeCell ref="J3:L3"/>
    <mergeCell ref="C5:D5"/>
    <mergeCell ref="C6:D6"/>
    <mergeCell ref="C7:H7"/>
    <mergeCell ref="A10:B10"/>
    <mergeCell ref="C10:G10"/>
    <mergeCell ref="H10:L10"/>
    <mergeCell ref="A11:B11"/>
    <mergeCell ref="C11:G11"/>
    <mergeCell ref="H11:L11"/>
    <mergeCell ref="A12:B12"/>
    <mergeCell ref="C12:G12"/>
    <mergeCell ref="H12:L12"/>
    <mergeCell ref="A20:B20"/>
    <mergeCell ref="C20:E20"/>
    <mergeCell ref="F20:G20"/>
    <mergeCell ref="A15:G15"/>
    <mergeCell ref="I15:L15"/>
    <mergeCell ref="A16:B16"/>
    <mergeCell ref="C16:G16"/>
    <mergeCell ref="I16:J16"/>
    <mergeCell ref="K16:L16"/>
    <mergeCell ref="A17:B17"/>
    <mergeCell ref="C17:E17"/>
    <mergeCell ref="F17:G17"/>
    <mergeCell ref="A18:B18"/>
    <mergeCell ref="C18:E18"/>
    <mergeCell ref="F18:G18"/>
    <mergeCell ref="A19:B19"/>
    <mergeCell ref="C19:E19"/>
    <mergeCell ref="F19:G19"/>
    <mergeCell ref="D26:F26"/>
    <mergeCell ref="G26:H26"/>
    <mergeCell ref="A21:B21"/>
    <mergeCell ref="E21:F21"/>
    <mergeCell ref="G21:H21"/>
    <mergeCell ref="A22:B22"/>
    <mergeCell ref="I22:L22"/>
    <mergeCell ref="D23:F23"/>
    <mergeCell ref="G23:H23"/>
    <mergeCell ref="I23:L23"/>
    <mergeCell ref="D24:F24"/>
    <mergeCell ref="G24:H24"/>
    <mergeCell ref="I24:L24"/>
    <mergeCell ref="D22:F22"/>
    <mergeCell ref="G22:H22"/>
    <mergeCell ref="I25:L25"/>
    <mergeCell ref="A28:B28"/>
    <mergeCell ref="E28:F28"/>
    <mergeCell ref="G28:H28"/>
    <mergeCell ref="A29:B29"/>
    <mergeCell ref="D29:F29"/>
    <mergeCell ref="G29:H29"/>
    <mergeCell ref="I26:L26"/>
    <mergeCell ref="D25:F25"/>
    <mergeCell ref="G25:H25"/>
    <mergeCell ref="D32:F32"/>
    <mergeCell ref="G32:H32"/>
    <mergeCell ref="I32:L32"/>
    <mergeCell ref="D27:F27"/>
    <mergeCell ref="G27:H27"/>
    <mergeCell ref="I27:L27"/>
    <mergeCell ref="I29:L29"/>
    <mergeCell ref="D30:F30"/>
    <mergeCell ref="G30:H30"/>
    <mergeCell ref="I30:L30"/>
    <mergeCell ref="D31:F31"/>
    <mergeCell ref="G31:H31"/>
    <mergeCell ref="I31:L31"/>
    <mergeCell ref="G34:H34"/>
    <mergeCell ref="I34:L34"/>
    <mergeCell ref="A35:F35"/>
    <mergeCell ref="G35:H35"/>
    <mergeCell ref="I35:L35"/>
    <mergeCell ref="A40:G40"/>
    <mergeCell ref="A1:B3"/>
    <mergeCell ref="C1:I3"/>
    <mergeCell ref="I18:J20"/>
    <mergeCell ref="K18:L20"/>
    <mergeCell ref="A23:B27"/>
    <mergeCell ref="A30:B34"/>
    <mergeCell ref="A37:G38"/>
    <mergeCell ref="I37:J38"/>
    <mergeCell ref="K37:L38"/>
    <mergeCell ref="I39:J41"/>
    <mergeCell ref="K39:L41"/>
    <mergeCell ref="D33:F33"/>
    <mergeCell ref="G33:H33"/>
    <mergeCell ref="I33:L33"/>
    <mergeCell ref="D34:F34"/>
    <mergeCell ref="A36:B36"/>
    <mergeCell ref="D36:F36"/>
    <mergeCell ref="G36:H36"/>
    <mergeCell ref="I36:L36"/>
    <mergeCell ref="A39:G39"/>
  </mergeCells>
  <pageMargins left="0.25" right="0.25" top="0.75" bottom="0.75" header="0.3" footer="0.3"/>
  <pageSetup paperSize="9" scale="93" fitToHeight="0" orientation="portrait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00"/>
    <pageSetUpPr fitToPage="1"/>
  </sheetPr>
  <dimension ref="A1:S45"/>
  <sheetViews>
    <sheetView showGridLines="0" view="pageBreakPreview" zoomScaleNormal="100" workbookViewId="0">
      <selection activeCell="N23" sqref="N23"/>
    </sheetView>
  </sheetViews>
  <sheetFormatPr defaultColWidth="9" defaultRowHeight="14.4"/>
  <cols>
    <col min="1" max="1" width="3.5546875" style="2" customWidth="1"/>
    <col min="2" max="2" width="10.44140625" style="2" customWidth="1"/>
    <col min="3" max="3" width="14.109375" style="2" customWidth="1"/>
    <col min="4" max="4" width="7.88671875" style="2" customWidth="1"/>
    <col min="5" max="5" width="6.77734375" style="2" customWidth="1"/>
    <col min="6" max="6" width="10.33203125" style="2" customWidth="1"/>
    <col min="7" max="7" width="12.21875" style="2" customWidth="1"/>
    <col min="8" max="8" width="1.88671875" style="2" customWidth="1"/>
    <col min="9" max="9" width="11.21875" style="2" customWidth="1"/>
    <col min="10" max="10" width="6.21875" style="2" customWidth="1"/>
    <col min="11" max="11" width="9.88671875" style="2" customWidth="1"/>
    <col min="12" max="12" width="7.5546875" style="2" customWidth="1"/>
    <col min="13" max="13" width="9" style="2"/>
    <col min="14" max="14" width="16.21875" style="2" customWidth="1"/>
    <col min="15" max="15" width="29" style="2" customWidth="1"/>
    <col min="16" max="16" width="9.77734375" style="2" customWidth="1"/>
    <col min="17" max="16384" width="9" style="2"/>
  </cols>
  <sheetData>
    <row r="1" spans="1:15" ht="16.2" customHeight="1">
      <c r="A1" s="652"/>
      <c r="B1" s="653"/>
      <c r="C1" s="658" t="s">
        <v>85</v>
      </c>
      <c r="D1" s="658"/>
      <c r="E1" s="658"/>
      <c r="F1" s="658"/>
      <c r="G1" s="658"/>
      <c r="H1" s="658"/>
      <c r="I1" s="658"/>
      <c r="J1" s="706" t="s">
        <v>86</v>
      </c>
      <c r="K1" s="707"/>
      <c r="L1" s="708"/>
    </row>
    <row r="2" spans="1:15" ht="16.2" customHeight="1">
      <c r="A2" s="654"/>
      <c r="B2" s="655"/>
      <c r="C2" s="659"/>
      <c r="D2" s="659"/>
      <c r="E2" s="659"/>
      <c r="F2" s="659"/>
      <c r="G2" s="659"/>
      <c r="H2" s="659"/>
      <c r="I2" s="659"/>
      <c r="J2" s="709" t="s">
        <v>87</v>
      </c>
      <c r="K2" s="710"/>
      <c r="L2" s="711"/>
      <c r="N2" s="1" t="str">
        <f>[1]In!J5</f>
        <v>SX2311007</v>
      </c>
      <c r="O2" s="1"/>
    </row>
    <row r="3" spans="1:15" ht="16.2" customHeight="1">
      <c r="A3" s="656"/>
      <c r="B3" s="657"/>
      <c r="C3" s="660"/>
      <c r="D3" s="660"/>
      <c r="E3" s="660"/>
      <c r="F3" s="660"/>
      <c r="G3" s="660"/>
      <c r="H3" s="660"/>
      <c r="I3" s="660"/>
      <c r="J3" s="712" t="s">
        <v>123</v>
      </c>
      <c r="K3" s="713"/>
      <c r="L3" s="714"/>
      <c r="N3" s="1"/>
      <c r="O3" s="1"/>
    </row>
    <row r="4" spans="1:15" ht="15" customHeight="1">
      <c r="A4" s="3"/>
      <c r="N4" s="1"/>
      <c r="O4" s="1"/>
    </row>
    <row r="5" spans="1:15" ht="15" customHeight="1">
      <c r="A5" s="7" t="s">
        <v>89</v>
      </c>
      <c r="B5" s="6"/>
      <c r="C5" s="703">
        <f>In!C8</f>
        <v>0</v>
      </c>
      <c r="D5" s="703"/>
      <c r="E5" s="8"/>
      <c r="F5" s="8"/>
      <c r="G5" s="8"/>
      <c r="H5" s="9"/>
      <c r="I5" s="7" t="s">
        <v>3</v>
      </c>
      <c r="J5" s="11">
        <f>In!C9</f>
        <v>0</v>
      </c>
      <c r="K5" s="6"/>
      <c r="L5" s="20"/>
      <c r="N5" s="1"/>
      <c r="O5" s="1"/>
    </row>
    <row r="6" spans="1:15" s="1" customFormat="1" ht="15" customHeight="1">
      <c r="A6" s="7" t="s">
        <v>90</v>
      </c>
      <c r="B6" s="6"/>
      <c r="C6" s="715">
        <f>In!C7</f>
        <v>0</v>
      </c>
      <c r="D6" s="715"/>
      <c r="E6" s="10"/>
      <c r="F6" s="10"/>
      <c r="G6" s="10"/>
      <c r="H6" s="8"/>
      <c r="I6" s="7" t="s">
        <v>91</v>
      </c>
      <c r="J6" s="21" t="s">
        <v>132</v>
      </c>
      <c r="K6" s="6"/>
      <c r="L6" s="6"/>
      <c r="M6" s="2"/>
    </row>
    <row r="7" spans="1:15" s="1" customFormat="1" ht="15" customHeight="1">
      <c r="A7" s="7" t="s">
        <v>92</v>
      </c>
      <c r="B7" s="6"/>
      <c r="C7" s="703">
        <f>In!C6</f>
        <v>0</v>
      </c>
      <c r="D7" s="703"/>
      <c r="E7" s="703"/>
      <c r="F7" s="703"/>
      <c r="G7" s="703"/>
      <c r="H7" s="703"/>
      <c r="I7" s="7" t="s">
        <v>93</v>
      </c>
      <c r="J7" s="21" t="s">
        <v>136</v>
      </c>
      <c r="K7" s="6"/>
      <c r="L7" s="6"/>
      <c r="M7" s="2"/>
    </row>
    <row r="8" spans="1:15" s="1" customFormat="1" ht="15" customHeight="1">
      <c r="A8" s="7" t="s">
        <v>94</v>
      </c>
      <c r="B8" s="11"/>
      <c r="C8" s="11">
        <f>In!C5</f>
        <v>0</v>
      </c>
      <c r="D8" s="11"/>
      <c r="E8" s="11"/>
      <c r="F8" s="11"/>
      <c r="G8" s="11"/>
      <c r="H8" s="6"/>
      <c r="I8" s="7" t="s">
        <v>95</v>
      </c>
      <c r="J8" s="21" t="s">
        <v>136</v>
      </c>
      <c r="K8" s="6"/>
      <c r="L8" s="6"/>
      <c r="M8" s="2"/>
    </row>
    <row r="9" spans="1:15" s="1" customFormat="1" ht="15" customHeight="1">
      <c r="A9" s="7"/>
      <c r="B9" s="11"/>
      <c r="C9" s="22"/>
      <c r="D9" s="11"/>
      <c r="E9" s="11"/>
      <c r="F9" s="11"/>
      <c r="G9" s="11"/>
      <c r="H9" s="6"/>
      <c r="I9" s="11"/>
      <c r="J9" s="6"/>
      <c r="K9" s="6"/>
      <c r="L9" s="6"/>
      <c r="M9" s="2"/>
    </row>
    <row r="10" spans="1:15" s="1" customFormat="1" ht="15" customHeight="1">
      <c r="A10" s="704"/>
      <c r="B10" s="705"/>
      <c r="C10" s="634" t="s">
        <v>96</v>
      </c>
      <c r="D10" s="634"/>
      <c r="E10" s="634"/>
      <c r="F10" s="634"/>
      <c r="G10" s="634"/>
      <c r="H10" s="634" t="s">
        <v>97</v>
      </c>
      <c r="I10" s="634"/>
      <c r="J10" s="634"/>
      <c r="K10" s="634"/>
      <c r="L10" s="638"/>
      <c r="M10" s="2"/>
    </row>
    <row r="11" spans="1:15" s="1" customFormat="1" ht="15" customHeight="1">
      <c r="A11" s="699" t="s">
        <v>98</v>
      </c>
      <c r="B11" s="695"/>
      <c r="C11" s="612" t="s">
        <v>23</v>
      </c>
      <c r="D11" s="612"/>
      <c r="E11" s="612"/>
      <c r="F11" s="612"/>
      <c r="G11" s="612"/>
      <c r="H11" s="636"/>
      <c r="I11" s="636"/>
      <c r="J11" s="636"/>
      <c r="K11" s="636"/>
      <c r="L11" s="639"/>
      <c r="M11" s="2"/>
    </row>
    <row r="12" spans="1:15" s="1" customFormat="1" ht="15" customHeight="1">
      <c r="A12" s="699" t="s">
        <v>99</v>
      </c>
      <c r="B12" s="695"/>
      <c r="C12" s="612" t="s">
        <v>100</v>
      </c>
      <c r="D12" s="612"/>
      <c r="E12" s="612"/>
      <c r="F12" s="612"/>
      <c r="G12" s="612"/>
      <c r="H12" s="636"/>
      <c r="I12" s="636"/>
      <c r="J12" s="636"/>
      <c r="K12" s="636"/>
      <c r="L12" s="639"/>
      <c r="M12" s="2"/>
    </row>
    <row r="13" spans="1:15" s="1" customFormat="1" ht="15" customHeight="1">
      <c r="A13" s="700" t="s">
        <v>101</v>
      </c>
      <c r="B13" s="701"/>
      <c r="C13" s="614"/>
      <c r="D13" s="614"/>
      <c r="E13" s="614"/>
      <c r="F13" s="614"/>
      <c r="G13" s="614"/>
      <c r="H13" s="682"/>
      <c r="I13" s="682"/>
      <c r="J13" s="682"/>
      <c r="K13" s="682"/>
      <c r="L13" s="702"/>
      <c r="M13" s="2"/>
    </row>
    <row r="14" spans="1:15" s="1" customFormat="1" ht="12" customHeight="1">
      <c r="A14" s="11"/>
      <c r="B14" s="11"/>
      <c r="C14" s="11"/>
      <c r="D14" s="11"/>
      <c r="E14" s="11"/>
      <c r="F14" s="6"/>
      <c r="G14" s="6"/>
      <c r="H14" s="11"/>
      <c r="I14" s="6"/>
      <c r="J14" s="11"/>
      <c r="K14" s="6"/>
      <c r="L14" s="6"/>
      <c r="M14" s="2"/>
    </row>
    <row r="15" spans="1:15" s="1" customFormat="1" ht="19.05" customHeight="1">
      <c r="A15" s="692" t="s">
        <v>137</v>
      </c>
      <c r="B15" s="693"/>
      <c r="C15" s="693"/>
      <c r="D15" s="693"/>
      <c r="E15" s="693"/>
      <c r="F15" s="693"/>
      <c r="G15" s="694"/>
      <c r="H15" s="6"/>
      <c r="I15" s="678" t="s">
        <v>103</v>
      </c>
      <c r="J15" s="634"/>
      <c r="K15" s="634"/>
      <c r="L15" s="638"/>
      <c r="M15" s="2"/>
    </row>
    <row r="16" spans="1:15" s="1" customFormat="1" ht="16.95" customHeight="1">
      <c r="A16" s="686" t="s">
        <v>104</v>
      </c>
      <c r="B16" s="687"/>
      <c r="C16" s="695" t="str">
        <f>[1]In!O16</f>
        <v>Bao OPP, may gập đáy 1 đầu bao, MTLS</v>
      </c>
      <c r="D16" s="695"/>
      <c r="E16" s="695"/>
      <c r="F16" s="695"/>
      <c r="G16" s="696"/>
      <c r="H16" s="6"/>
      <c r="I16" s="697" t="s">
        <v>105</v>
      </c>
      <c r="J16" s="676"/>
      <c r="K16" s="676" t="s">
        <v>106</v>
      </c>
      <c r="L16" s="698"/>
      <c r="M16" s="2"/>
    </row>
    <row r="17" spans="1:13" s="1" customFormat="1" ht="16.95" customHeight="1">
      <c r="A17" s="686" t="s">
        <v>107</v>
      </c>
      <c r="B17" s="687"/>
      <c r="C17" s="688" t="e">
        <f>'In 1'!#REF!</f>
        <v>#REF!</v>
      </c>
      <c r="D17" s="688"/>
      <c r="E17" s="688"/>
      <c r="F17" s="612" t="s">
        <v>108</v>
      </c>
      <c r="G17" s="613"/>
      <c r="H17" s="6"/>
      <c r="I17" s="661"/>
      <c r="J17" s="662"/>
      <c r="K17" s="616"/>
      <c r="L17" s="617"/>
      <c r="M17" s="2"/>
    </row>
    <row r="18" spans="1:13" s="1" customFormat="1" ht="16.95" customHeight="1">
      <c r="A18" s="686" t="s">
        <v>109</v>
      </c>
      <c r="B18" s="687"/>
      <c r="C18" s="688" t="e">
        <f>'In 1'!#REF!</f>
        <v>#REF!</v>
      </c>
      <c r="D18" s="688"/>
      <c r="E18" s="688"/>
      <c r="F18" s="612" t="s">
        <v>108</v>
      </c>
      <c r="G18" s="613"/>
      <c r="H18" s="6"/>
      <c r="I18" s="631"/>
      <c r="J18" s="663"/>
      <c r="K18" s="618"/>
      <c r="L18" s="619"/>
      <c r="M18" s="2"/>
    </row>
    <row r="19" spans="1:13" s="1" customFormat="1" ht="16.95" customHeight="1">
      <c r="A19" s="686" t="s">
        <v>110</v>
      </c>
      <c r="B19" s="687"/>
      <c r="C19" s="688">
        <f>In!M6</f>
        <v>0</v>
      </c>
      <c r="D19" s="688"/>
      <c r="E19" s="688"/>
      <c r="F19" s="612" t="s">
        <v>12</v>
      </c>
      <c r="G19" s="613"/>
      <c r="H19" s="6"/>
      <c r="I19" s="631"/>
      <c r="J19" s="663"/>
      <c r="K19" s="618"/>
      <c r="L19" s="619"/>
      <c r="M19" s="2"/>
    </row>
    <row r="20" spans="1:13" s="1" customFormat="1" ht="16.95" customHeight="1">
      <c r="A20" s="689" t="s">
        <v>111</v>
      </c>
      <c r="B20" s="690"/>
      <c r="C20" s="691">
        <f>In!M9</f>
        <v>0</v>
      </c>
      <c r="D20" s="691"/>
      <c r="E20" s="691"/>
      <c r="F20" s="614" t="s">
        <v>129</v>
      </c>
      <c r="G20" s="615"/>
      <c r="H20" s="6"/>
      <c r="I20" s="664"/>
      <c r="J20" s="665"/>
      <c r="K20" s="620"/>
      <c r="L20" s="621"/>
      <c r="M20" s="2"/>
    </row>
    <row r="21" spans="1:13" s="1" customFormat="1" ht="12" customHeight="1">
      <c r="A21" s="673"/>
      <c r="B21" s="673"/>
      <c r="C21" s="6"/>
      <c r="D21" s="6"/>
      <c r="E21" s="673"/>
      <c r="F21" s="673"/>
      <c r="G21" s="673"/>
      <c r="H21" s="673"/>
      <c r="I21" s="6"/>
      <c r="J21" s="6"/>
      <c r="K21" s="6"/>
      <c r="L21" s="6"/>
      <c r="M21" s="2"/>
    </row>
    <row r="22" spans="1:13" s="1" customFormat="1" ht="15.6">
      <c r="A22" s="678" t="s">
        <v>112</v>
      </c>
      <c r="B22" s="634"/>
      <c r="C22" s="12" t="s">
        <v>113</v>
      </c>
      <c r="D22" s="634" t="s">
        <v>114</v>
      </c>
      <c r="E22" s="634"/>
      <c r="F22" s="634"/>
      <c r="G22" s="634" t="s">
        <v>130</v>
      </c>
      <c r="H22" s="679"/>
      <c r="I22" s="680" t="s">
        <v>116</v>
      </c>
      <c r="J22" s="680"/>
      <c r="K22" s="680"/>
      <c r="L22" s="681"/>
      <c r="M22" s="2"/>
    </row>
    <row r="23" spans="1:13" s="1" customFormat="1" ht="19.95" customHeight="1">
      <c r="A23" s="622" t="s">
        <v>117</v>
      </c>
      <c r="B23" s="623"/>
      <c r="C23" s="14"/>
      <c r="D23" s="636"/>
      <c r="E23" s="636"/>
      <c r="F23" s="636"/>
      <c r="G23" s="636"/>
      <c r="H23" s="649"/>
      <c r="I23" s="650"/>
      <c r="J23" s="650"/>
      <c r="K23" s="650"/>
      <c r="L23" s="651"/>
    </row>
    <row r="24" spans="1:13" s="1" customFormat="1" ht="19.95" customHeight="1">
      <c r="A24" s="624"/>
      <c r="B24" s="625"/>
      <c r="C24" s="14"/>
      <c r="D24" s="636"/>
      <c r="E24" s="636"/>
      <c r="F24" s="636"/>
      <c r="G24" s="636"/>
      <c r="H24" s="649"/>
      <c r="I24" s="650"/>
      <c r="J24" s="650"/>
      <c r="K24" s="650"/>
      <c r="L24" s="651"/>
    </row>
    <row r="25" spans="1:13" s="1" customFormat="1" ht="19.95" customHeight="1">
      <c r="A25" s="624"/>
      <c r="B25" s="625"/>
      <c r="C25" s="14"/>
      <c r="D25" s="636"/>
      <c r="E25" s="636"/>
      <c r="F25" s="636"/>
      <c r="G25" s="636"/>
      <c r="H25" s="649"/>
      <c r="I25" s="650"/>
      <c r="J25" s="650"/>
      <c r="K25" s="650"/>
      <c r="L25" s="651"/>
    </row>
    <row r="26" spans="1:13" s="1" customFormat="1" ht="19.95" customHeight="1">
      <c r="A26" s="624"/>
      <c r="B26" s="625"/>
      <c r="C26" s="14"/>
      <c r="D26" s="636"/>
      <c r="E26" s="636"/>
      <c r="F26" s="636"/>
      <c r="G26" s="636"/>
      <c r="H26" s="649"/>
      <c r="I26" s="650"/>
      <c r="J26" s="650"/>
      <c r="K26" s="650"/>
      <c r="L26" s="651"/>
    </row>
    <row r="27" spans="1:13" s="1" customFormat="1" ht="19.95" customHeight="1">
      <c r="A27" s="624"/>
      <c r="B27" s="625"/>
      <c r="C27" s="15"/>
      <c r="D27" s="682"/>
      <c r="E27" s="682"/>
      <c r="F27" s="682"/>
      <c r="G27" s="682"/>
      <c r="H27" s="683"/>
      <c r="I27" s="684"/>
      <c r="J27" s="684"/>
      <c r="K27" s="684"/>
      <c r="L27" s="685"/>
    </row>
    <row r="28" spans="1:13" s="1" customFormat="1" ht="12" hidden="1" customHeight="1">
      <c r="A28" s="673"/>
      <c r="B28" s="673"/>
      <c r="C28" s="6"/>
      <c r="D28" s="6"/>
      <c r="E28" s="673"/>
      <c r="F28" s="673"/>
      <c r="G28" s="673"/>
      <c r="H28" s="673"/>
      <c r="I28" s="6"/>
      <c r="J28" s="6"/>
      <c r="K28" s="6"/>
      <c r="L28" s="6"/>
    </row>
    <row r="29" spans="1:13" s="1" customFormat="1" ht="15.6">
      <c r="A29" s="678" t="s">
        <v>112</v>
      </c>
      <c r="B29" s="634"/>
      <c r="C29" s="12" t="s">
        <v>113</v>
      </c>
      <c r="D29" s="634" t="s">
        <v>114</v>
      </c>
      <c r="E29" s="634"/>
      <c r="F29" s="634"/>
      <c r="G29" s="634" t="s">
        <v>130</v>
      </c>
      <c r="H29" s="679"/>
      <c r="I29" s="680" t="s">
        <v>116</v>
      </c>
      <c r="J29" s="680"/>
      <c r="K29" s="680"/>
      <c r="L29" s="681"/>
    </row>
    <row r="30" spans="1:13" s="1" customFormat="1" ht="19.95" customHeight="1">
      <c r="A30" s="622" t="s">
        <v>118</v>
      </c>
      <c r="B30" s="623"/>
      <c r="C30" s="14"/>
      <c r="D30" s="636"/>
      <c r="E30" s="636"/>
      <c r="F30" s="636"/>
      <c r="G30" s="636"/>
      <c r="H30" s="649"/>
      <c r="I30" s="650"/>
      <c r="J30" s="650"/>
      <c r="K30" s="650"/>
      <c r="L30" s="651"/>
    </row>
    <row r="31" spans="1:13" s="1" customFormat="1" ht="19.95" customHeight="1">
      <c r="A31" s="624"/>
      <c r="B31" s="625"/>
      <c r="C31" s="14"/>
      <c r="D31" s="636"/>
      <c r="E31" s="636"/>
      <c r="F31" s="636"/>
      <c r="G31" s="636"/>
      <c r="H31" s="649"/>
      <c r="I31" s="650"/>
      <c r="J31" s="650"/>
      <c r="K31" s="650"/>
      <c r="L31" s="651"/>
    </row>
    <row r="32" spans="1:13" s="1" customFormat="1" ht="19.95" customHeight="1">
      <c r="A32" s="624"/>
      <c r="B32" s="625"/>
      <c r="C32" s="14"/>
      <c r="D32" s="636"/>
      <c r="E32" s="636"/>
      <c r="F32" s="636"/>
      <c r="G32" s="636"/>
      <c r="H32" s="649"/>
      <c r="I32" s="650"/>
      <c r="J32" s="650"/>
      <c r="K32" s="650"/>
      <c r="L32" s="651"/>
    </row>
    <row r="33" spans="1:19" s="1" customFormat="1" ht="19.95" customHeight="1">
      <c r="A33" s="624"/>
      <c r="B33" s="625"/>
      <c r="C33" s="14"/>
      <c r="D33" s="636"/>
      <c r="E33" s="636"/>
      <c r="F33" s="636"/>
      <c r="G33" s="636"/>
      <c r="H33" s="649"/>
      <c r="I33" s="650"/>
      <c r="J33" s="650"/>
      <c r="K33" s="650"/>
      <c r="L33" s="651"/>
    </row>
    <row r="34" spans="1:19" s="1" customFormat="1" ht="19.95" customHeight="1">
      <c r="A34" s="626"/>
      <c r="B34" s="627"/>
      <c r="C34" s="16"/>
      <c r="D34" s="676"/>
      <c r="E34" s="676"/>
      <c r="F34" s="676"/>
      <c r="G34" s="676"/>
      <c r="H34" s="677"/>
      <c r="I34" s="646"/>
      <c r="J34" s="647"/>
      <c r="K34" s="647"/>
      <c r="L34" s="648"/>
    </row>
    <row r="35" spans="1:19" s="1" customFormat="1" ht="19.95" customHeight="1">
      <c r="A35" s="668" t="s">
        <v>119</v>
      </c>
      <c r="B35" s="669"/>
      <c r="C35" s="669"/>
      <c r="D35" s="669"/>
      <c r="E35" s="669"/>
      <c r="F35" s="669"/>
      <c r="G35" s="669"/>
      <c r="H35" s="669"/>
      <c r="I35" s="670"/>
      <c r="J35" s="671"/>
      <c r="K35" s="671"/>
      <c r="L35" s="672"/>
    </row>
    <row r="36" spans="1:19" s="1" customFormat="1" ht="12" customHeight="1">
      <c r="A36" s="673"/>
      <c r="B36" s="673"/>
      <c r="C36" s="6"/>
      <c r="D36" s="632"/>
      <c r="E36" s="632"/>
      <c r="F36" s="632"/>
      <c r="G36" s="632"/>
      <c r="H36" s="674"/>
      <c r="I36" s="675"/>
      <c r="J36" s="675"/>
      <c r="K36" s="675"/>
      <c r="L36" s="675"/>
    </row>
    <row r="37" spans="1:19" s="1" customFormat="1" ht="15.6">
      <c r="A37" s="628" t="s">
        <v>116</v>
      </c>
      <c r="B37" s="629"/>
      <c r="C37" s="629"/>
      <c r="D37" s="629"/>
      <c r="E37" s="629"/>
      <c r="F37" s="629"/>
      <c r="G37" s="630"/>
      <c r="H37" s="13"/>
      <c r="I37" s="633" t="s">
        <v>120</v>
      </c>
      <c r="J37" s="634"/>
      <c r="K37" s="637" t="s">
        <v>121</v>
      </c>
      <c r="L37" s="638"/>
      <c r="O37" s="5"/>
      <c r="P37" s="5"/>
      <c r="Q37" s="5"/>
      <c r="R37" s="5"/>
      <c r="S37" s="5"/>
    </row>
    <row r="38" spans="1:19" s="1" customFormat="1" ht="16.05" customHeight="1">
      <c r="A38" s="631"/>
      <c r="B38" s="632"/>
      <c r="C38" s="632"/>
      <c r="D38" s="632"/>
      <c r="E38" s="632"/>
      <c r="F38" s="632"/>
      <c r="G38" s="619"/>
      <c r="H38" s="13"/>
      <c r="I38" s="635"/>
      <c r="J38" s="636"/>
      <c r="K38" s="636"/>
      <c r="L38" s="639"/>
      <c r="O38" s="5"/>
      <c r="P38" s="5"/>
      <c r="Q38" s="5"/>
      <c r="R38" s="5"/>
      <c r="S38" s="5"/>
    </row>
    <row r="39" spans="1:19" s="1" customFormat="1" ht="19.05" customHeight="1">
      <c r="A39" s="640"/>
      <c r="B39" s="641"/>
      <c r="C39" s="641"/>
      <c r="D39" s="641"/>
      <c r="E39" s="641"/>
      <c r="F39" s="641"/>
      <c r="G39" s="642"/>
      <c r="H39" s="6"/>
      <c r="I39" s="666"/>
      <c r="J39" s="612"/>
      <c r="K39" s="612"/>
      <c r="L39" s="613"/>
      <c r="O39" s="5"/>
      <c r="P39" s="5"/>
      <c r="Q39" s="5"/>
      <c r="R39" s="5"/>
      <c r="S39" s="5"/>
    </row>
    <row r="40" spans="1:19" s="1" customFormat="1" ht="19.05" customHeight="1">
      <c r="A40" s="643"/>
      <c r="B40" s="644"/>
      <c r="C40" s="644"/>
      <c r="D40" s="644"/>
      <c r="E40" s="644"/>
      <c r="F40" s="644"/>
      <c r="G40" s="645"/>
      <c r="H40" s="6"/>
      <c r="I40" s="666"/>
      <c r="J40" s="612"/>
      <c r="K40" s="612"/>
      <c r="L40" s="613"/>
    </row>
    <row r="41" spans="1:19" s="1" customFormat="1" ht="19.05" customHeight="1">
      <c r="A41" s="17"/>
      <c r="B41" s="18"/>
      <c r="C41" s="18"/>
      <c r="D41" s="18"/>
      <c r="E41" s="18"/>
      <c r="F41" s="18"/>
      <c r="G41" s="19"/>
      <c r="H41" s="6"/>
      <c r="I41" s="667"/>
      <c r="J41" s="614"/>
      <c r="K41" s="614"/>
      <c r="L41" s="615"/>
    </row>
    <row r="42" spans="1:19" s="1" customFormat="1" ht="16.05" customHeight="1">
      <c r="A42" s="5"/>
      <c r="B42" s="5"/>
      <c r="C42" s="5"/>
      <c r="D42" s="5"/>
      <c r="E42" s="5"/>
      <c r="F42" s="5"/>
      <c r="G42" s="5"/>
      <c r="H42" s="6"/>
      <c r="I42" s="5"/>
      <c r="J42" s="5"/>
      <c r="K42" s="5"/>
    </row>
    <row r="43" spans="1:19" s="1" customFormat="1" ht="16.05" customHeight="1">
      <c r="A43" s="5"/>
      <c r="B43" s="5"/>
      <c r="C43" s="5"/>
      <c r="D43" s="5"/>
      <c r="E43" s="5"/>
      <c r="F43" s="5"/>
      <c r="G43" s="5"/>
      <c r="H43" s="6"/>
      <c r="I43" s="5"/>
      <c r="J43" s="5"/>
      <c r="K43" s="5"/>
    </row>
    <row r="44" spans="1:19" s="1" customFormat="1" ht="16.05" customHeight="1">
      <c r="A44" s="5"/>
      <c r="B44" s="5"/>
      <c r="C44" s="5"/>
      <c r="D44" s="5"/>
      <c r="E44" s="5"/>
      <c r="F44" s="5"/>
      <c r="G44" s="5"/>
      <c r="H44" s="6"/>
      <c r="I44" s="5"/>
      <c r="J44" s="5"/>
      <c r="K44" s="5"/>
    </row>
    <row r="45" spans="1:19" s="1" customFormat="1" ht="15.6">
      <c r="A45" s="5"/>
      <c r="B45" s="5"/>
      <c r="C45" s="5"/>
      <c r="D45" s="5"/>
      <c r="E45" s="5"/>
      <c r="F45" s="5"/>
      <c r="G45" s="5"/>
      <c r="H45" s="4"/>
      <c r="I45" s="5"/>
      <c r="J45" s="5"/>
      <c r="K45" s="5"/>
    </row>
  </sheetData>
  <mergeCells count="100">
    <mergeCell ref="J1:L1"/>
    <mergeCell ref="J2:L2"/>
    <mergeCell ref="J3:L3"/>
    <mergeCell ref="C5:D5"/>
    <mergeCell ref="C6:D6"/>
    <mergeCell ref="C7:H7"/>
    <mergeCell ref="A10:B10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  <mergeCell ref="H13:L13"/>
    <mergeCell ref="A15:G15"/>
    <mergeCell ref="I15:L15"/>
    <mergeCell ref="A16:B16"/>
    <mergeCell ref="C16:G16"/>
    <mergeCell ref="I16:J16"/>
    <mergeCell ref="K16:L16"/>
    <mergeCell ref="A17:B17"/>
    <mergeCell ref="C17:E17"/>
    <mergeCell ref="F17:G17"/>
    <mergeCell ref="A18:B18"/>
    <mergeCell ref="C18:E18"/>
    <mergeCell ref="F18:G18"/>
    <mergeCell ref="A19:B19"/>
    <mergeCell ref="C19:E19"/>
    <mergeCell ref="F19:G19"/>
    <mergeCell ref="A20:B20"/>
    <mergeCell ref="C20:E20"/>
    <mergeCell ref="F20:G20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D24:F24"/>
    <mergeCell ref="G24:H24"/>
    <mergeCell ref="I24:L24"/>
    <mergeCell ref="D25:F25"/>
    <mergeCell ref="G25:H25"/>
    <mergeCell ref="I25:L25"/>
    <mergeCell ref="D26:F26"/>
    <mergeCell ref="G26:H26"/>
    <mergeCell ref="I26:L26"/>
    <mergeCell ref="D27:F27"/>
    <mergeCell ref="G27:H27"/>
    <mergeCell ref="I27:L27"/>
    <mergeCell ref="A28:B28"/>
    <mergeCell ref="E28:F28"/>
    <mergeCell ref="G28:H28"/>
    <mergeCell ref="A29:B29"/>
    <mergeCell ref="D29:F29"/>
    <mergeCell ref="G29:H29"/>
    <mergeCell ref="I29:L29"/>
    <mergeCell ref="D30:F30"/>
    <mergeCell ref="G30:H30"/>
    <mergeCell ref="I30:L30"/>
    <mergeCell ref="A1:B3"/>
    <mergeCell ref="C1:I3"/>
    <mergeCell ref="I17:J20"/>
    <mergeCell ref="I39:J41"/>
    <mergeCell ref="A35:F35"/>
    <mergeCell ref="G35:H35"/>
    <mergeCell ref="I35:L35"/>
    <mergeCell ref="A36:B36"/>
    <mergeCell ref="D36:F36"/>
    <mergeCell ref="G36:H36"/>
    <mergeCell ref="I36:L36"/>
    <mergeCell ref="D33:F33"/>
    <mergeCell ref="G33:H33"/>
    <mergeCell ref="I33:L33"/>
    <mergeCell ref="D34:F34"/>
    <mergeCell ref="G34:H34"/>
    <mergeCell ref="K39:L41"/>
    <mergeCell ref="K17:L20"/>
    <mergeCell ref="A23:B27"/>
    <mergeCell ref="A30:B34"/>
    <mergeCell ref="A37:G38"/>
    <mergeCell ref="I37:J38"/>
    <mergeCell ref="K37:L38"/>
    <mergeCell ref="A39:G39"/>
    <mergeCell ref="A40:G40"/>
    <mergeCell ref="I34:L34"/>
    <mergeCell ref="D31:F31"/>
    <mergeCell ref="G31:H31"/>
    <mergeCell ref="I31:L31"/>
    <mergeCell ref="D32:F32"/>
    <mergeCell ref="G32:H32"/>
    <mergeCell ref="I32:L32"/>
  </mergeCells>
  <pageMargins left="0.25" right="0.25" top="0.75" bottom="0.75" header="0.3" footer="0.3"/>
  <pageSetup paperSize="9" scale="96" fitToHeight="0" orientation="portrait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FF00"/>
    <pageSetUpPr fitToPage="1"/>
  </sheetPr>
  <dimension ref="A1:S45"/>
  <sheetViews>
    <sheetView showGridLines="0" view="pageBreakPreview" zoomScaleNormal="100" workbookViewId="0">
      <selection activeCell="N23" sqref="N23"/>
    </sheetView>
  </sheetViews>
  <sheetFormatPr defaultColWidth="9" defaultRowHeight="14.4"/>
  <cols>
    <col min="1" max="1" width="3.5546875" style="2" customWidth="1"/>
    <col min="2" max="2" width="10.44140625" style="2" customWidth="1"/>
    <col min="3" max="3" width="14.109375" style="2" customWidth="1"/>
    <col min="4" max="4" width="7.88671875" style="2" customWidth="1"/>
    <col min="5" max="5" width="6.77734375" style="2" customWidth="1"/>
    <col min="6" max="6" width="10.33203125" style="2" customWidth="1"/>
    <col min="7" max="7" width="12.21875" style="2" customWidth="1"/>
    <col min="8" max="8" width="1.88671875" style="2" customWidth="1"/>
    <col min="9" max="9" width="11.21875" style="2" customWidth="1"/>
    <col min="10" max="10" width="6.21875" style="2" customWidth="1"/>
    <col min="11" max="11" width="9.88671875" style="2" customWidth="1"/>
    <col min="12" max="12" width="7.5546875" style="2" customWidth="1"/>
    <col min="13" max="13" width="9" style="2"/>
    <col min="14" max="14" width="16.21875" style="2" customWidth="1"/>
    <col min="15" max="15" width="29" style="2" customWidth="1"/>
    <col min="16" max="16" width="9.77734375" style="2" customWidth="1"/>
    <col min="17" max="16384" width="9" style="2"/>
  </cols>
  <sheetData>
    <row r="1" spans="1:15" ht="16.2" customHeight="1">
      <c r="A1" s="652"/>
      <c r="B1" s="653"/>
      <c r="C1" s="658" t="s">
        <v>85</v>
      </c>
      <c r="D1" s="658"/>
      <c r="E1" s="658"/>
      <c r="F1" s="658"/>
      <c r="G1" s="658"/>
      <c r="H1" s="658"/>
      <c r="I1" s="658"/>
      <c r="J1" s="706" t="s">
        <v>86</v>
      </c>
      <c r="K1" s="707"/>
      <c r="L1" s="708"/>
    </row>
    <row r="2" spans="1:15" ht="16.2" customHeight="1">
      <c r="A2" s="654"/>
      <c r="B2" s="655"/>
      <c r="C2" s="659"/>
      <c r="D2" s="659"/>
      <c r="E2" s="659"/>
      <c r="F2" s="659"/>
      <c r="G2" s="659"/>
      <c r="H2" s="659"/>
      <c r="I2" s="659"/>
      <c r="J2" s="709" t="s">
        <v>87</v>
      </c>
      <c r="K2" s="710"/>
      <c r="L2" s="711"/>
      <c r="N2" s="1" t="str">
        <f>[1]In!J5</f>
        <v>SX2311007</v>
      </c>
      <c r="O2" s="1"/>
    </row>
    <row r="3" spans="1:15" ht="16.2" customHeight="1">
      <c r="A3" s="656"/>
      <c r="B3" s="657"/>
      <c r="C3" s="660"/>
      <c r="D3" s="660"/>
      <c r="E3" s="660"/>
      <c r="F3" s="660"/>
      <c r="G3" s="660"/>
      <c r="H3" s="660"/>
      <c r="I3" s="660"/>
      <c r="J3" s="712" t="s">
        <v>123</v>
      </c>
      <c r="K3" s="713"/>
      <c r="L3" s="714"/>
      <c r="N3" s="1"/>
      <c r="O3" s="1"/>
    </row>
    <row r="4" spans="1:15" ht="15" customHeight="1">
      <c r="A4" s="3"/>
      <c r="N4" s="1"/>
      <c r="O4" s="1"/>
    </row>
    <row r="5" spans="1:15" ht="15" customHeight="1">
      <c r="A5" s="7" t="s">
        <v>89</v>
      </c>
      <c r="B5" s="6"/>
      <c r="C5" s="703">
        <f>In!C8</f>
        <v>0</v>
      </c>
      <c r="D5" s="703"/>
      <c r="E5" s="8"/>
      <c r="F5" s="8"/>
      <c r="G5" s="8"/>
      <c r="H5" s="9"/>
      <c r="I5" s="7" t="s">
        <v>3</v>
      </c>
      <c r="J5" s="11">
        <f>In!C9</f>
        <v>0</v>
      </c>
      <c r="K5" s="6"/>
      <c r="L5" s="20"/>
      <c r="N5" s="1"/>
      <c r="O5" s="1"/>
    </row>
    <row r="6" spans="1:15" s="1" customFormat="1" ht="15" customHeight="1">
      <c r="A6" s="7" t="s">
        <v>90</v>
      </c>
      <c r="B6" s="6"/>
      <c r="C6" s="715">
        <f>In!C7</f>
        <v>0</v>
      </c>
      <c r="D6" s="715"/>
      <c r="E6" s="10"/>
      <c r="F6" s="10"/>
      <c r="G6" s="10"/>
      <c r="H6" s="8"/>
      <c r="I6" s="7" t="s">
        <v>91</v>
      </c>
      <c r="J6" s="21" t="s">
        <v>132</v>
      </c>
      <c r="K6" s="6"/>
      <c r="L6" s="6"/>
      <c r="M6" s="2"/>
    </row>
    <row r="7" spans="1:15" s="1" customFormat="1" ht="15" customHeight="1">
      <c r="A7" s="7" t="s">
        <v>92</v>
      </c>
      <c r="B7" s="6"/>
      <c r="C7" s="703">
        <f>In!C6</f>
        <v>0</v>
      </c>
      <c r="D7" s="703"/>
      <c r="E7" s="703"/>
      <c r="F7" s="703"/>
      <c r="G7" s="703"/>
      <c r="H7" s="703"/>
      <c r="I7" s="7" t="s">
        <v>93</v>
      </c>
      <c r="J7" s="21" t="s">
        <v>136</v>
      </c>
      <c r="K7" s="6"/>
      <c r="L7" s="6"/>
      <c r="M7" s="2"/>
    </row>
    <row r="8" spans="1:15" s="1" customFormat="1" ht="15" customHeight="1">
      <c r="A8" s="7" t="s">
        <v>94</v>
      </c>
      <c r="B8" s="11"/>
      <c r="C8" s="11">
        <f>In!C5</f>
        <v>0</v>
      </c>
      <c r="D8" s="11"/>
      <c r="E8" s="11"/>
      <c r="F8" s="11"/>
      <c r="G8" s="11"/>
      <c r="H8" s="6"/>
      <c r="I8" s="7" t="s">
        <v>95</v>
      </c>
      <c r="J8" s="21" t="s">
        <v>136</v>
      </c>
      <c r="K8" s="6"/>
      <c r="L8" s="6"/>
      <c r="M8" s="2"/>
    </row>
    <row r="9" spans="1:15" s="1" customFormat="1" ht="15" customHeight="1">
      <c r="A9" s="7"/>
      <c r="B9" s="11"/>
      <c r="C9" s="11"/>
      <c r="D9" s="11"/>
      <c r="E9" s="11"/>
      <c r="F9" s="11"/>
      <c r="G9" s="11"/>
      <c r="H9" s="6"/>
      <c r="I9" s="11"/>
      <c r="J9" s="6"/>
      <c r="K9" s="6"/>
      <c r="L9" s="6"/>
      <c r="M9" s="2"/>
    </row>
    <row r="10" spans="1:15" s="1" customFormat="1" ht="15" customHeight="1">
      <c r="A10" s="704"/>
      <c r="B10" s="705"/>
      <c r="C10" s="634" t="s">
        <v>96</v>
      </c>
      <c r="D10" s="634"/>
      <c r="E10" s="634"/>
      <c r="F10" s="634"/>
      <c r="G10" s="634"/>
      <c r="H10" s="634" t="s">
        <v>97</v>
      </c>
      <c r="I10" s="634"/>
      <c r="J10" s="634"/>
      <c r="K10" s="634"/>
      <c r="L10" s="638"/>
      <c r="M10" s="2"/>
    </row>
    <row r="11" spans="1:15" s="1" customFormat="1" ht="15" customHeight="1">
      <c r="A11" s="699" t="s">
        <v>98</v>
      </c>
      <c r="B11" s="695"/>
      <c r="C11" s="612" t="s">
        <v>23</v>
      </c>
      <c r="D11" s="612"/>
      <c r="E11" s="612"/>
      <c r="F11" s="612"/>
      <c r="G11" s="612"/>
      <c r="H11" s="636"/>
      <c r="I11" s="636"/>
      <c r="J11" s="636"/>
      <c r="K11" s="636"/>
      <c r="L11" s="639"/>
      <c r="M11" s="2"/>
    </row>
    <row r="12" spans="1:15" s="1" customFormat="1" ht="15" customHeight="1">
      <c r="A12" s="699" t="s">
        <v>99</v>
      </c>
      <c r="B12" s="695"/>
      <c r="C12" s="612" t="s">
        <v>100</v>
      </c>
      <c r="D12" s="612"/>
      <c r="E12" s="612"/>
      <c r="F12" s="612"/>
      <c r="G12" s="612"/>
      <c r="H12" s="636"/>
      <c r="I12" s="636"/>
      <c r="J12" s="636"/>
      <c r="K12" s="636"/>
      <c r="L12" s="639"/>
      <c r="M12" s="2"/>
    </row>
    <row r="13" spans="1:15" s="1" customFormat="1" ht="15" customHeight="1">
      <c r="A13" s="700" t="s">
        <v>101</v>
      </c>
      <c r="B13" s="701"/>
      <c r="C13" s="614"/>
      <c r="D13" s="614"/>
      <c r="E13" s="614"/>
      <c r="F13" s="614"/>
      <c r="G13" s="614"/>
      <c r="H13" s="682"/>
      <c r="I13" s="682"/>
      <c r="J13" s="682"/>
      <c r="K13" s="682"/>
      <c r="L13" s="702"/>
      <c r="M13" s="2"/>
    </row>
    <row r="14" spans="1:15" s="1" customFormat="1" ht="12" customHeight="1">
      <c r="A14" s="11"/>
      <c r="B14" s="11"/>
      <c r="C14" s="11"/>
      <c r="D14" s="11"/>
      <c r="E14" s="11"/>
      <c r="F14" s="6"/>
      <c r="G14" s="6"/>
      <c r="H14" s="11"/>
      <c r="I14" s="6"/>
      <c r="J14" s="11"/>
      <c r="K14" s="6"/>
      <c r="L14" s="6"/>
      <c r="M14" s="2"/>
    </row>
    <row r="15" spans="1:15" s="1" customFormat="1" ht="19.05" customHeight="1">
      <c r="A15" s="692" t="s">
        <v>138</v>
      </c>
      <c r="B15" s="693"/>
      <c r="C15" s="693"/>
      <c r="D15" s="693"/>
      <c r="E15" s="693"/>
      <c r="F15" s="693"/>
      <c r="G15" s="694"/>
      <c r="H15" s="6"/>
      <c r="I15" s="678" t="s">
        <v>103</v>
      </c>
      <c r="J15" s="634"/>
      <c r="K15" s="634"/>
      <c r="L15" s="638"/>
      <c r="M15" s="2"/>
    </row>
    <row r="16" spans="1:15" s="1" customFormat="1" ht="16.95" customHeight="1">
      <c r="A16" s="686" t="s">
        <v>104</v>
      </c>
      <c r="B16" s="687"/>
      <c r="C16" s="695" t="str">
        <f>[1]In!O16</f>
        <v>Bao OPP, may gập đáy 1 đầu bao, MTLS</v>
      </c>
      <c r="D16" s="695"/>
      <c r="E16" s="695"/>
      <c r="F16" s="695"/>
      <c r="G16" s="696"/>
      <c r="H16" s="6"/>
      <c r="I16" s="697" t="s">
        <v>105</v>
      </c>
      <c r="J16" s="676"/>
      <c r="K16" s="676" t="s">
        <v>106</v>
      </c>
      <c r="L16" s="698"/>
      <c r="M16" s="2"/>
    </row>
    <row r="17" spans="1:13" s="1" customFormat="1" ht="16.95" customHeight="1">
      <c r="A17" s="686" t="s">
        <v>107</v>
      </c>
      <c r="B17" s="687"/>
      <c r="C17" s="688">
        <f>'In 1'!C17</f>
        <v>0</v>
      </c>
      <c r="D17" s="688"/>
      <c r="E17" s="688"/>
      <c r="F17" s="612" t="s">
        <v>108</v>
      </c>
      <c r="G17" s="613"/>
      <c r="H17" s="6"/>
      <c r="I17" s="661"/>
      <c r="J17" s="662"/>
      <c r="K17" s="616"/>
      <c r="L17" s="617"/>
      <c r="M17" s="2"/>
    </row>
    <row r="18" spans="1:13" s="1" customFormat="1" ht="16.95" customHeight="1">
      <c r="A18" s="686" t="s">
        <v>109</v>
      </c>
      <c r="B18" s="687"/>
      <c r="C18" s="688">
        <f>'In 1'!C18</f>
        <v>0</v>
      </c>
      <c r="D18" s="688"/>
      <c r="E18" s="688"/>
      <c r="F18" s="612" t="s">
        <v>108</v>
      </c>
      <c r="G18" s="613"/>
      <c r="H18" s="6"/>
      <c r="I18" s="631"/>
      <c r="J18" s="663"/>
      <c r="K18" s="618"/>
      <c r="L18" s="619"/>
      <c r="M18" s="2"/>
    </row>
    <row r="19" spans="1:13" s="1" customFormat="1" ht="16.95" customHeight="1">
      <c r="A19" s="686" t="s">
        <v>110</v>
      </c>
      <c r="B19" s="687"/>
      <c r="C19" s="688">
        <f>In!M6</f>
        <v>0</v>
      </c>
      <c r="D19" s="688"/>
      <c r="E19" s="688"/>
      <c r="F19" s="612" t="s">
        <v>12</v>
      </c>
      <c r="G19" s="613"/>
      <c r="H19" s="6"/>
      <c r="I19" s="631"/>
      <c r="J19" s="663"/>
      <c r="K19" s="618"/>
      <c r="L19" s="619"/>
      <c r="M19" s="2"/>
    </row>
    <row r="20" spans="1:13" s="1" customFormat="1" ht="16.95" customHeight="1">
      <c r="A20" s="689" t="s">
        <v>111</v>
      </c>
      <c r="B20" s="690"/>
      <c r="C20" s="691">
        <f>In!M9</f>
        <v>0</v>
      </c>
      <c r="D20" s="691"/>
      <c r="E20" s="691"/>
      <c r="F20" s="614" t="s">
        <v>129</v>
      </c>
      <c r="G20" s="615"/>
      <c r="H20" s="6"/>
      <c r="I20" s="664"/>
      <c r="J20" s="665"/>
      <c r="K20" s="620"/>
      <c r="L20" s="621"/>
      <c r="M20" s="2"/>
    </row>
    <row r="21" spans="1:13" s="1" customFormat="1" ht="12" customHeight="1">
      <c r="A21" s="673"/>
      <c r="B21" s="673"/>
      <c r="C21" s="6"/>
      <c r="D21" s="6"/>
      <c r="E21" s="673"/>
      <c r="F21" s="673"/>
      <c r="G21" s="673"/>
      <c r="H21" s="673"/>
      <c r="I21" s="6"/>
      <c r="J21" s="6"/>
      <c r="K21" s="6"/>
      <c r="L21" s="6"/>
      <c r="M21" s="2"/>
    </row>
    <row r="22" spans="1:13" s="1" customFormat="1" ht="15.6">
      <c r="A22" s="678" t="s">
        <v>112</v>
      </c>
      <c r="B22" s="634"/>
      <c r="C22" s="12" t="s">
        <v>113</v>
      </c>
      <c r="D22" s="634" t="s">
        <v>114</v>
      </c>
      <c r="E22" s="634"/>
      <c r="F22" s="634"/>
      <c r="G22" s="634" t="s">
        <v>130</v>
      </c>
      <c r="H22" s="679"/>
      <c r="I22" s="680" t="s">
        <v>116</v>
      </c>
      <c r="J22" s="680"/>
      <c r="K22" s="680"/>
      <c r="L22" s="681"/>
      <c r="M22" s="2"/>
    </row>
    <row r="23" spans="1:13" s="1" customFormat="1" ht="19.95" customHeight="1">
      <c r="A23" s="622" t="s">
        <v>117</v>
      </c>
      <c r="B23" s="623"/>
      <c r="C23" s="14"/>
      <c r="D23" s="636"/>
      <c r="E23" s="636"/>
      <c r="F23" s="636"/>
      <c r="G23" s="636"/>
      <c r="H23" s="649"/>
      <c r="I23" s="650"/>
      <c r="J23" s="650"/>
      <c r="K23" s="650"/>
      <c r="L23" s="651"/>
    </row>
    <row r="24" spans="1:13" s="1" customFormat="1" ht="19.95" customHeight="1">
      <c r="A24" s="624"/>
      <c r="B24" s="625"/>
      <c r="C24" s="14"/>
      <c r="D24" s="636"/>
      <c r="E24" s="636"/>
      <c r="F24" s="636"/>
      <c r="G24" s="636"/>
      <c r="H24" s="649"/>
      <c r="I24" s="650"/>
      <c r="J24" s="650"/>
      <c r="K24" s="650"/>
      <c r="L24" s="651"/>
    </row>
    <row r="25" spans="1:13" s="1" customFormat="1" ht="19.95" customHeight="1">
      <c r="A25" s="624"/>
      <c r="B25" s="625"/>
      <c r="C25" s="14"/>
      <c r="D25" s="636"/>
      <c r="E25" s="636"/>
      <c r="F25" s="636"/>
      <c r="G25" s="636"/>
      <c r="H25" s="649"/>
      <c r="I25" s="650"/>
      <c r="J25" s="650"/>
      <c r="K25" s="650"/>
      <c r="L25" s="651"/>
    </row>
    <row r="26" spans="1:13" s="1" customFormat="1" ht="19.95" customHeight="1">
      <c r="A26" s="624"/>
      <c r="B26" s="625"/>
      <c r="C26" s="14"/>
      <c r="D26" s="636"/>
      <c r="E26" s="636"/>
      <c r="F26" s="636"/>
      <c r="G26" s="636"/>
      <c r="H26" s="649"/>
      <c r="I26" s="650"/>
      <c r="J26" s="650"/>
      <c r="K26" s="650"/>
      <c r="L26" s="651"/>
    </row>
    <row r="27" spans="1:13" s="1" customFormat="1" ht="19.95" customHeight="1">
      <c r="A27" s="624"/>
      <c r="B27" s="625"/>
      <c r="C27" s="15"/>
      <c r="D27" s="682"/>
      <c r="E27" s="682"/>
      <c r="F27" s="682"/>
      <c r="G27" s="682"/>
      <c r="H27" s="683"/>
      <c r="I27" s="684"/>
      <c r="J27" s="684"/>
      <c r="K27" s="684"/>
      <c r="L27" s="685"/>
    </row>
    <row r="28" spans="1:13" s="1" customFormat="1" ht="12" hidden="1" customHeight="1">
      <c r="A28" s="673"/>
      <c r="B28" s="673"/>
      <c r="C28" s="6"/>
      <c r="D28" s="6"/>
      <c r="E28" s="673"/>
      <c r="F28" s="673"/>
      <c r="G28" s="673"/>
      <c r="H28" s="673"/>
      <c r="I28" s="6"/>
      <c r="J28" s="6"/>
      <c r="K28" s="6"/>
      <c r="L28" s="6"/>
    </row>
    <row r="29" spans="1:13" s="1" customFormat="1" ht="15.6">
      <c r="A29" s="678" t="s">
        <v>112</v>
      </c>
      <c r="B29" s="634"/>
      <c r="C29" s="12" t="s">
        <v>113</v>
      </c>
      <c r="D29" s="634" t="s">
        <v>114</v>
      </c>
      <c r="E29" s="634"/>
      <c r="F29" s="634"/>
      <c r="G29" s="634" t="s">
        <v>130</v>
      </c>
      <c r="H29" s="679"/>
      <c r="I29" s="680" t="s">
        <v>116</v>
      </c>
      <c r="J29" s="680"/>
      <c r="K29" s="680"/>
      <c r="L29" s="681"/>
    </row>
    <row r="30" spans="1:13" s="1" customFormat="1" ht="19.95" customHeight="1">
      <c r="A30" s="622" t="s">
        <v>118</v>
      </c>
      <c r="B30" s="623"/>
      <c r="C30" s="14"/>
      <c r="D30" s="636"/>
      <c r="E30" s="636"/>
      <c r="F30" s="636"/>
      <c r="G30" s="636"/>
      <c r="H30" s="649"/>
      <c r="I30" s="650"/>
      <c r="J30" s="650"/>
      <c r="K30" s="650"/>
      <c r="L30" s="651"/>
    </row>
    <row r="31" spans="1:13" s="1" customFormat="1" ht="19.95" customHeight="1">
      <c r="A31" s="624"/>
      <c r="B31" s="625"/>
      <c r="C31" s="14"/>
      <c r="D31" s="636"/>
      <c r="E31" s="636"/>
      <c r="F31" s="636"/>
      <c r="G31" s="636"/>
      <c r="H31" s="649"/>
      <c r="I31" s="650"/>
      <c r="J31" s="650"/>
      <c r="K31" s="650"/>
      <c r="L31" s="651"/>
    </row>
    <row r="32" spans="1:13" s="1" customFormat="1" ht="19.95" customHeight="1">
      <c r="A32" s="624"/>
      <c r="B32" s="625"/>
      <c r="C32" s="14"/>
      <c r="D32" s="636"/>
      <c r="E32" s="636"/>
      <c r="F32" s="636"/>
      <c r="G32" s="636"/>
      <c r="H32" s="649"/>
      <c r="I32" s="650"/>
      <c r="J32" s="650"/>
      <c r="K32" s="650"/>
      <c r="L32" s="651"/>
    </row>
    <row r="33" spans="1:19" s="1" customFormat="1" ht="19.95" customHeight="1">
      <c r="A33" s="624"/>
      <c r="B33" s="625"/>
      <c r="C33" s="14"/>
      <c r="D33" s="636"/>
      <c r="E33" s="636"/>
      <c r="F33" s="636"/>
      <c r="G33" s="636"/>
      <c r="H33" s="649"/>
      <c r="I33" s="650"/>
      <c r="J33" s="650"/>
      <c r="K33" s="650"/>
      <c r="L33" s="651"/>
    </row>
    <row r="34" spans="1:19" s="1" customFormat="1" ht="19.95" customHeight="1">
      <c r="A34" s="626"/>
      <c r="B34" s="627"/>
      <c r="C34" s="16"/>
      <c r="D34" s="676"/>
      <c r="E34" s="676"/>
      <c r="F34" s="676"/>
      <c r="G34" s="676"/>
      <c r="H34" s="677"/>
      <c r="I34" s="646"/>
      <c r="J34" s="647"/>
      <c r="K34" s="647"/>
      <c r="L34" s="648"/>
    </row>
    <row r="35" spans="1:19" s="1" customFormat="1" ht="19.95" customHeight="1">
      <c r="A35" s="668" t="s">
        <v>119</v>
      </c>
      <c r="B35" s="669"/>
      <c r="C35" s="669"/>
      <c r="D35" s="669"/>
      <c r="E35" s="669"/>
      <c r="F35" s="669"/>
      <c r="G35" s="669"/>
      <c r="H35" s="669"/>
      <c r="I35" s="670"/>
      <c r="J35" s="671"/>
      <c r="K35" s="671"/>
      <c r="L35" s="672"/>
    </row>
    <row r="36" spans="1:19" s="1" customFormat="1" ht="12" customHeight="1">
      <c r="A36" s="673"/>
      <c r="B36" s="673"/>
      <c r="C36" s="6"/>
      <c r="D36" s="632"/>
      <c r="E36" s="632"/>
      <c r="F36" s="632"/>
      <c r="G36" s="632"/>
      <c r="H36" s="674"/>
      <c r="I36" s="675"/>
      <c r="J36" s="675"/>
      <c r="K36" s="675"/>
      <c r="L36" s="675"/>
    </row>
    <row r="37" spans="1:19" s="1" customFormat="1" ht="15.6">
      <c r="A37" s="628" t="s">
        <v>116</v>
      </c>
      <c r="B37" s="629"/>
      <c r="C37" s="629"/>
      <c r="D37" s="629"/>
      <c r="E37" s="629"/>
      <c r="F37" s="629"/>
      <c r="G37" s="630"/>
      <c r="H37" s="13"/>
      <c r="I37" s="633" t="s">
        <v>120</v>
      </c>
      <c r="J37" s="634"/>
      <c r="K37" s="637" t="s">
        <v>121</v>
      </c>
      <c r="L37" s="638"/>
      <c r="O37" s="5"/>
      <c r="P37" s="5"/>
      <c r="Q37" s="5"/>
      <c r="R37" s="5"/>
      <c r="S37" s="5"/>
    </row>
    <row r="38" spans="1:19" s="1" customFormat="1" ht="16.05" customHeight="1">
      <c r="A38" s="631"/>
      <c r="B38" s="632"/>
      <c r="C38" s="632"/>
      <c r="D38" s="632"/>
      <c r="E38" s="632"/>
      <c r="F38" s="632"/>
      <c r="G38" s="619"/>
      <c r="H38" s="13"/>
      <c r="I38" s="635"/>
      <c r="J38" s="636"/>
      <c r="K38" s="636"/>
      <c r="L38" s="639"/>
      <c r="O38" s="5"/>
      <c r="P38" s="5"/>
      <c r="Q38" s="5"/>
      <c r="R38" s="5"/>
      <c r="S38" s="5"/>
    </row>
    <row r="39" spans="1:19" s="1" customFormat="1" ht="19.05" customHeight="1">
      <c r="A39" s="640"/>
      <c r="B39" s="641"/>
      <c r="C39" s="641"/>
      <c r="D39" s="641"/>
      <c r="E39" s="641"/>
      <c r="F39" s="641"/>
      <c r="G39" s="642"/>
      <c r="H39" s="6"/>
      <c r="I39" s="666"/>
      <c r="J39" s="612"/>
      <c r="K39" s="612"/>
      <c r="L39" s="613"/>
      <c r="O39" s="5"/>
      <c r="P39" s="5"/>
      <c r="Q39" s="5"/>
      <c r="R39" s="5"/>
      <c r="S39" s="5"/>
    </row>
    <row r="40" spans="1:19" s="1" customFormat="1" ht="19.05" customHeight="1">
      <c r="A40" s="643"/>
      <c r="B40" s="644"/>
      <c r="C40" s="644"/>
      <c r="D40" s="644"/>
      <c r="E40" s="644"/>
      <c r="F40" s="644"/>
      <c r="G40" s="645"/>
      <c r="H40" s="6"/>
      <c r="I40" s="666"/>
      <c r="J40" s="612"/>
      <c r="K40" s="612"/>
      <c r="L40" s="613"/>
    </row>
    <row r="41" spans="1:19" s="1" customFormat="1" ht="19.05" customHeight="1">
      <c r="A41" s="17"/>
      <c r="B41" s="18"/>
      <c r="C41" s="18"/>
      <c r="D41" s="18"/>
      <c r="E41" s="18"/>
      <c r="F41" s="18"/>
      <c r="G41" s="19"/>
      <c r="H41" s="6"/>
      <c r="I41" s="667"/>
      <c r="J41" s="614"/>
      <c r="K41" s="614"/>
      <c r="L41" s="615"/>
    </row>
    <row r="42" spans="1:19" s="1" customFormat="1" ht="16.05" customHeight="1">
      <c r="A42" s="5"/>
      <c r="B42" s="5"/>
      <c r="C42" s="5"/>
      <c r="D42" s="5"/>
      <c r="E42" s="5"/>
      <c r="F42" s="5"/>
      <c r="G42" s="5"/>
      <c r="H42" s="6"/>
      <c r="I42" s="5"/>
      <c r="J42" s="5"/>
      <c r="K42" s="5"/>
    </row>
    <row r="43" spans="1:19" s="1" customFormat="1" ht="16.05" customHeight="1">
      <c r="A43" s="5"/>
      <c r="B43" s="5"/>
      <c r="C43" s="5"/>
      <c r="D43" s="5"/>
      <c r="E43" s="5"/>
      <c r="F43" s="5"/>
      <c r="G43" s="5"/>
      <c r="H43" s="6"/>
      <c r="I43" s="5"/>
      <c r="J43" s="5"/>
      <c r="K43" s="5"/>
    </row>
    <row r="44" spans="1:19" s="1" customFormat="1" ht="16.05" customHeight="1">
      <c r="A44" s="5"/>
      <c r="B44" s="5"/>
      <c r="C44" s="5"/>
      <c r="D44" s="5"/>
      <c r="E44" s="5"/>
      <c r="F44" s="5"/>
      <c r="G44" s="5"/>
      <c r="H44" s="6"/>
      <c r="I44" s="5"/>
      <c r="J44" s="5"/>
      <c r="K44" s="5"/>
    </row>
    <row r="45" spans="1:19" s="1" customFormat="1" ht="15.6">
      <c r="A45" s="5"/>
      <c r="B45" s="5"/>
      <c r="C45" s="5"/>
      <c r="D45" s="5"/>
      <c r="E45" s="5"/>
      <c r="F45" s="5"/>
      <c r="G45" s="5"/>
      <c r="H45" s="4"/>
      <c r="I45" s="5"/>
      <c r="J45" s="5"/>
      <c r="K45" s="5"/>
    </row>
  </sheetData>
  <mergeCells count="100">
    <mergeCell ref="J1:L1"/>
    <mergeCell ref="J2:L2"/>
    <mergeCell ref="J3:L3"/>
    <mergeCell ref="C5:D5"/>
    <mergeCell ref="C6:D6"/>
    <mergeCell ref="C7:H7"/>
    <mergeCell ref="A10:B10"/>
    <mergeCell ref="C10:G10"/>
    <mergeCell ref="H10:L10"/>
    <mergeCell ref="A11:B11"/>
    <mergeCell ref="C11:G11"/>
    <mergeCell ref="H11:L11"/>
    <mergeCell ref="A12:B12"/>
    <mergeCell ref="C12:G12"/>
    <mergeCell ref="H12:L12"/>
    <mergeCell ref="A13:B13"/>
    <mergeCell ref="C13:G13"/>
    <mergeCell ref="H13:L13"/>
    <mergeCell ref="A15:G15"/>
    <mergeCell ref="I15:L15"/>
    <mergeCell ref="A16:B16"/>
    <mergeCell ref="C16:G16"/>
    <mergeCell ref="I16:J16"/>
    <mergeCell ref="K16:L16"/>
    <mergeCell ref="A17:B17"/>
    <mergeCell ref="C17:E17"/>
    <mergeCell ref="F17:G17"/>
    <mergeCell ref="A18:B18"/>
    <mergeCell ref="C18:E18"/>
    <mergeCell ref="F18:G18"/>
    <mergeCell ref="A19:B19"/>
    <mergeCell ref="C19:E19"/>
    <mergeCell ref="F19:G19"/>
    <mergeCell ref="A20:B20"/>
    <mergeCell ref="C20:E20"/>
    <mergeCell ref="F20:G20"/>
    <mergeCell ref="A21:B21"/>
    <mergeCell ref="E21:F21"/>
    <mergeCell ref="G21:H21"/>
    <mergeCell ref="A22:B22"/>
    <mergeCell ref="D22:F22"/>
    <mergeCell ref="G22:H22"/>
    <mergeCell ref="I22:L22"/>
    <mergeCell ref="D23:F23"/>
    <mergeCell ref="G23:H23"/>
    <mergeCell ref="I23:L23"/>
    <mergeCell ref="D24:F24"/>
    <mergeCell ref="G24:H24"/>
    <mergeCell ref="I24:L24"/>
    <mergeCell ref="D25:F25"/>
    <mergeCell ref="G25:H25"/>
    <mergeCell ref="I25:L25"/>
    <mergeCell ref="D26:F26"/>
    <mergeCell ref="G26:H26"/>
    <mergeCell ref="I26:L26"/>
    <mergeCell ref="D27:F27"/>
    <mergeCell ref="G27:H27"/>
    <mergeCell ref="I27:L27"/>
    <mergeCell ref="A28:B28"/>
    <mergeCell ref="E28:F28"/>
    <mergeCell ref="G28:H28"/>
    <mergeCell ref="A29:B29"/>
    <mergeCell ref="D29:F29"/>
    <mergeCell ref="G29:H29"/>
    <mergeCell ref="I29:L29"/>
    <mergeCell ref="D30:F30"/>
    <mergeCell ref="G30:H30"/>
    <mergeCell ref="I30:L30"/>
    <mergeCell ref="A1:B3"/>
    <mergeCell ref="C1:I3"/>
    <mergeCell ref="I17:J20"/>
    <mergeCell ref="I39:J41"/>
    <mergeCell ref="A35:F35"/>
    <mergeCell ref="G35:H35"/>
    <mergeCell ref="I35:L35"/>
    <mergeCell ref="A36:B36"/>
    <mergeCell ref="D36:F36"/>
    <mergeCell ref="G36:H36"/>
    <mergeCell ref="I36:L36"/>
    <mergeCell ref="D33:F33"/>
    <mergeCell ref="G33:H33"/>
    <mergeCell ref="I33:L33"/>
    <mergeCell ref="D34:F34"/>
    <mergeCell ref="G34:H34"/>
    <mergeCell ref="K39:L41"/>
    <mergeCell ref="K17:L20"/>
    <mergeCell ref="A23:B27"/>
    <mergeCell ref="A30:B34"/>
    <mergeCell ref="A37:G38"/>
    <mergeCell ref="I37:J38"/>
    <mergeCell ref="K37:L38"/>
    <mergeCell ref="A39:G39"/>
    <mergeCell ref="A40:G40"/>
    <mergeCell ref="I34:L34"/>
    <mergeCell ref="D31:F31"/>
    <mergeCell ref="G31:H31"/>
    <mergeCell ref="I31:L31"/>
    <mergeCell ref="D32:F32"/>
    <mergeCell ref="G32:H32"/>
    <mergeCell ref="I32:L32"/>
  </mergeCells>
  <pageMargins left="0.25" right="0.25" top="0.75" bottom="0.75" header="0.3" footer="0.3"/>
  <pageSetup paperSize="9" scale="96" fitToHeight="0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1"/>
    <pageSetUpPr fitToPage="1"/>
  </sheetPr>
  <dimension ref="A1"/>
  <sheetViews>
    <sheetView view="pageBreakPreview" zoomScale="55" zoomScaleNormal="85" workbookViewId="0">
      <selection activeCell="P26" sqref="A1:XFD1048576"/>
    </sheetView>
  </sheetViews>
  <sheetFormatPr defaultColWidth="9" defaultRowHeight="13.8"/>
  <cols>
    <col min="1" max="16384" width="9" style="23"/>
  </cols>
  <sheetData/>
  <pageMargins left="0.7" right="0.7" top="0.75" bottom="0.75" header="0.3" footer="0.3"/>
  <pageSetup paperSize="9" scale="80" orientation="portrait" horizontalDpi="300" verticalDpi="30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00B0F0"/>
    <pageSetUpPr fitToPage="1"/>
  </sheetPr>
  <dimension ref="A1:N83"/>
  <sheetViews>
    <sheetView showGridLines="0" view="pageBreakPreview" topLeftCell="A8" zoomScale="85" zoomScaleNormal="80" zoomScaleSheetLayoutView="85" zoomScalePageLayoutView="85" workbookViewId="0">
      <selection activeCell="G16" sqref="G16:H16"/>
    </sheetView>
  </sheetViews>
  <sheetFormatPr defaultColWidth="8.88671875" defaultRowHeight="13.8"/>
  <cols>
    <col min="1" max="1" width="4" style="26" customWidth="1"/>
    <col min="2" max="2" width="20" style="26" customWidth="1"/>
    <col min="3" max="3" width="16.109375" style="26" customWidth="1"/>
    <col min="4" max="4" width="22.6640625" style="26" customWidth="1"/>
    <col min="5" max="6" width="10.44140625" style="26" customWidth="1"/>
    <col min="7" max="7" width="9.109375" style="26" customWidth="1"/>
    <col min="8" max="8" width="11.5546875" style="26" customWidth="1"/>
    <col min="9" max="9" width="1.77734375" style="26" customWidth="1"/>
    <col min="10" max="10" width="10.109375" style="26" customWidth="1"/>
    <col min="11" max="11" width="11.109375" style="26" customWidth="1"/>
    <col min="12" max="12" width="9.88671875" style="26" customWidth="1"/>
    <col min="13" max="13" width="11.33203125" style="26" customWidth="1"/>
    <col min="14" max="16384" width="8.88671875" style="26"/>
  </cols>
  <sheetData>
    <row r="1" spans="1:13" ht="19.05" customHeight="1">
      <c r="A1" s="758"/>
      <c r="B1" s="759"/>
      <c r="C1" s="764" t="s">
        <v>139</v>
      </c>
      <c r="D1" s="765"/>
      <c r="E1" s="765"/>
      <c r="F1" s="765"/>
      <c r="G1" s="765"/>
      <c r="H1" s="765"/>
      <c r="I1" s="765"/>
      <c r="J1" s="766"/>
      <c r="K1" s="582" t="s">
        <v>140</v>
      </c>
      <c r="L1" s="583"/>
      <c r="M1" s="584"/>
    </row>
    <row r="2" spans="1:13" ht="19.05" customHeight="1">
      <c r="A2" s="760"/>
      <c r="B2" s="761"/>
      <c r="C2" s="767"/>
      <c r="D2" s="465"/>
      <c r="E2" s="465"/>
      <c r="F2" s="465"/>
      <c r="G2" s="465"/>
      <c r="H2" s="465"/>
      <c r="I2" s="465"/>
      <c r="J2" s="511"/>
      <c r="K2" s="585" t="s">
        <v>87</v>
      </c>
      <c r="L2" s="586"/>
      <c r="M2" s="587"/>
    </row>
    <row r="3" spans="1:13" ht="19.05" customHeight="1" thickBot="1">
      <c r="A3" s="762"/>
      <c r="B3" s="763"/>
      <c r="C3" s="768"/>
      <c r="D3" s="769"/>
      <c r="E3" s="769"/>
      <c r="F3" s="769"/>
      <c r="G3" s="769"/>
      <c r="H3" s="769"/>
      <c r="I3" s="769"/>
      <c r="J3" s="770"/>
      <c r="K3" s="588" t="s">
        <v>88</v>
      </c>
      <c r="L3" s="589"/>
      <c r="M3" s="590"/>
    </row>
    <row r="4" spans="1:13" ht="15" customHeight="1">
      <c r="A4" s="34"/>
      <c r="C4" s="82"/>
    </row>
    <row r="5" spans="1:13" ht="15" customHeight="1">
      <c r="A5" s="518" t="s">
        <v>89</v>
      </c>
      <c r="B5" s="518"/>
      <c r="C5" s="581">
        <f>In!C8</f>
        <v>0</v>
      </c>
      <c r="D5" s="581"/>
      <c r="E5" s="581"/>
      <c r="F5" s="581"/>
      <c r="G5" s="581"/>
      <c r="H5" s="581"/>
      <c r="I5" s="83" t="s">
        <v>3</v>
      </c>
      <c r="J5" s="83"/>
      <c r="K5" s="269">
        <f>In!C9</f>
        <v>0</v>
      </c>
    </row>
    <row r="6" spans="1:13" ht="15" customHeight="1">
      <c r="A6" s="521" t="s">
        <v>90</v>
      </c>
      <c r="B6" s="521"/>
      <c r="C6" s="757">
        <f>In!C7</f>
        <v>0</v>
      </c>
      <c r="D6" s="757"/>
      <c r="E6" s="757"/>
      <c r="F6" s="757"/>
      <c r="G6" s="757"/>
      <c r="H6" s="757"/>
      <c r="I6" s="83" t="s">
        <v>141</v>
      </c>
      <c r="J6" s="83"/>
      <c r="K6" s="267" t="s">
        <v>132</v>
      </c>
    </row>
    <row r="7" spans="1:13" ht="15" customHeight="1">
      <c r="A7" s="521" t="s">
        <v>92</v>
      </c>
      <c r="B7" s="521"/>
      <c r="C7" s="757">
        <f>In!C6</f>
        <v>0</v>
      </c>
      <c r="D7" s="757"/>
      <c r="E7" s="757"/>
      <c r="F7" s="757"/>
      <c r="G7" s="757"/>
      <c r="H7" s="757"/>
      <c r="I7" s="85" t="s">
        <v>93</v>
      </c>
      <c r="J7" s="85"/>
      <c r="K7" s="86" t="s">
        <v>341</v>
      </c>
    </row>
    <row r="8" spans="1:13" ht="20.399999999999999" customHeight="1">
      <c r="A8" s="521" t="s">
        <v>94</v>
      </c>
      <c r="B8" s="521"/>
      <c r="C8" s="581">
        <f>In!C5</f>
        <v>0</v>
      </c>
      <c r="D8" s="581"/>
      <c r="E8" s="581"/>
      <c r="F8" s="581"/>
      <c r="G8" s="581"/>
      <c r="H8" s="581"/>
      <c r="I8" s="85" t="s">
        <v>95</v>
      </c>
      <c r="J8" s="85"/>
      <c r="K8" s="86" t="s">
        <v>341</v>
      </c>
    </row>
    <row r="9" spans="1:13" ht="15" customHeight="1" thickBot="1">
      <c r="A9" s="36"/>
      <c r="B9" s="36"/>
      <c r="C9" s="36"/>
      <c r="D9" s="36"/>
      <c r="E9" s="36"/>
      <c r="I9" s="36"/>
      <c r="K9" s="36"/>
    </row>
    <row r="10" spans="1:13" ht="19.05" customHeight="1">
      <c r="A10" s="444"/>
      <c r="B10" s="445"/>
      <c r="C10" s="385" t="s">
        <v>96</v>
      </c>
      <c r="D10" s="385"/>
      <c r="E10" s="385"/>
      <c r="F10" s="385"/>
      <c r="G10" s="385"/>
      <c r="H10" s="385" t="s">
        <v>97</v>
      </c>
      <c r="I10" s="385"/>
      <c r="J10" s="385"/>
      <c r="K10" s="385"/>
      <c r="L10" s="385"/>
      <c r="M10" s="305"/>
    </row>
    <row r="11" spans="1:13" ht="19.05" customHeight="1">
      <c r="A11" s="579" t="s">
        <v>98</v>
      </c>
      <c r="B11" s="331"/>
      <c r="C11" s="366" t="s">
        <v>313</v>
      </c>
      <c r="D11" s="366"/>
      <c r="E11" s="366"/>
      <c r="F11" s="366"/>
      <c r="G11" s="366"/>
      <c r="H11" s="366" t="s">
        <v>313</v>
      </c>
      <c r="I11" s="366"/>
      <c r="J11" s="366"/>
      <c r="K11" s="366"/>
      <c r="L11" s="366"/>
      <c r="M11" s="544"/>
    </row>
    <row r="12" spans="1:13" ht="19.05" customHeight="1">
      <c r="A12" s="579" t="s">
        <v>99</v>
      </c>
      <c r="B12" s="331"/>
      <c r="C12" s="366" t="s">
        <v>100</v>
      </c>
      <c r="D12" s="366"/>
      <c r="E12" s="366"/>
      <c r="F12" s="366"/>
      <c r="G12" s="366"/>
      <c r="H12" s="366" t="s">
        <v>314</v>
      </c>
      <c r="I12" s="366"/>
      <c r="J12" s="366"/>
      <c r="K12" s="366"/>
      <c r="L12" s="366"/>
      <c r="M12" s="544"/>
    </row>
    <row r="13" spans="1:13" ht="19.05" customHeight="1" thickBot="1">
      <c r="A13" s="580" t="s">
        <v>101</v>
      </c>
      <c r="B13" s="333"/>
      <c r="C13" s="563"/>
      <c r="D13" s="563"/>
      <c r="E13" s="563"/>
      <c r="F13" s="563"/>
      <c r="G13" s="563"/>
      <c r="H13" s="563"/>
      <c r="I13" s="563"/>
      <c r="J13" s="563"/>
      <c r="K13" s="563"/>
      <c r="L13" s="563"/>
      <c r="M13" s="306"/>
    </row>
    <row r="15" spans="1:13" ht="24" customHeight="1">
      <c r="A15" s="575" t="s">
        <v>134</v>
      </c>
      <c r="B15" s="387"/>
      <c r="C15" s="387"/>
      <c r="D15" s="387"/>
      <c r="E15" s="387"/>
      <c r="F15" s="387"/>
      <c r="G15" s="387"/>
      <c r="H15" s="388"/>
      <c r="J15" s="384" t="s">
        <v>142</v>
      </c>
      <c r="K15" s="385"/>
      <c r="L15" s="385"/>
      <c r="M15" s="305"/>
    </row>
    <row r="16" spans="1:13" ht="44.4" customHeight="1">
      <c r="A16" s="87" t="s">
        <v>143</v>
      </c>
      <c r="B16" s="88"/>
      <c r="C16" s="752">
        <f>In!M6*In!M7*1.05</f>
        <v>0</v>
      </c>
      <c r="D16" s="753"/>
      <c r="E16" s="754" t="s">
        <v>144</v>
      </c>
      <c r="F16" s="754"/>
      <c r="G16" s="755">
        <f>In!M9</f>
        <v>0</v>
      </c>
      <c r="H16" s="756"/>
      <c r="J16" s="541" t="s">
        <v>105</v>
      </c>
      <c r="K16" s="542"/>
      <c r="L16" s="542" t="s">
        <v>106</v>
      </c>
      <c r="M16" s="543"/>
    </row>
    <row r="17" spans="1:13" ht="18" customHeight="1" thickBot="1">
      <c r="A17" s="199" t="s">
        <v>32</v>
      </c>
      <c r="B17" s="194" t="s">
        <v>33</v>
      </c>
      <c r="C17" s="38" t="s">
        <v>34</v>
      </c>
      <c r="D17" s="194" t="s">
        <v>145</v>
      </c>
      <c r="E17" s="155" t="s">
        <v>6</v>
      </c>
      <c r="F17" s="155" t="s">
        <v>146</v>
      </c>
      <c r="G17" s="155" t="s">
        <v>147</v>
      </c>
      <c r="H17" s="156" t="s">
        <v>148</v>
      </c>
      <c r="J17" s="365"/>
      <c r="K17" s="366"/>
      <c r="L17" s="366"/>
      <c r="M17" s="544"/>
    </row>
    <row r="18" spans="1:13" ht="18" customHeight="1">
      <c r="A18" s="731"/>
      <c r="B18" s="417">
        <f>In!C18</f>
        <v>0</v>
      </c>
      <c r="C18" s="417">
        <f>In!D18</f>
        <v>0</v>
      </c>
      <c r="D18" s="210"/>
      <c r="E18" s="270" t="s">
        <v>49</v>
      </c>
      <c r="F18" s="271">
        <f>In!G18</f>
        <v>0</v>
      </c>
      <c r="G18" s="157"/>
      <c r="H18" s="158"/>
      <c r="J18" s="365"/>
      <c r="K18" s="366"/>
      <c r="L18" s="366"/>
      <c r="M18" s="544"/>
    </row>
    <row r="19" spans="1:13" ht="18" customHeight="1">
      <c r="A19" s="732"/>
      <c r="B19" s="418"/>
      <c r="C19" s="418"/>
      <c r="D19" s="214"/>
      <c r="E19" s="272" t="s">
        <v>51</v>
      </c>
      <c r="F19" s="230">
        <f>In!G19</f>
        <v>0</v>
      </c>
      <c r="G19" s="95"/>
      <c r="H19" s="96"/>
      <c r="J19" s="365"/>
      <c r="K19" s="366"/>
      <c r="L19" s="366"/>
      <c r="M19" s="544"/>
    </row>
    <row r="20" spans="1:13" ht="18" customHeight="1">
      <c r="A20" s="732"/>
      <c r="B20" s="214" t="str">
        <f>In!C20</f>
        <v>Dung môi OPP</v>
      </c>
      <c r="C20" s="217" t="str">
        <f>In!D20</f>
        <v>PDMTOLUENE001</v>
      </c>
      <c r="D20" s="214"/>
      <c r="E20" s="272" t="s">
        <v>49</v>
      </c>
      <c r="F20" s="273">
        <f>In!G20</f>
        <v>0</v>
      </c>
      <c r="G20" s="159"/>
      <c r="H20" s="160"/>
      <c r="J20" s="734"/>
      <c r="K20" s="311"/>
      <c r="L20" s="311"/>
      <c r="M20" s="303"/>
    </row>
    <row r="21" spans="1:13" ht="18" customHeight="1" thickBot="1">
      <c r="A21" s="732"/>
      <c r="B21" s="274" t="str">
        <f>In!C21</f>
        <v>Dung môi EA</v>
      </c>
      <c r="C21" s="255" t="str">
        <f>In!D21</f>
        <v>PDMEA00001</v>
      </c>
      <c r="D21" s="274"/>
      <c r="E21" s="275" t="s">
        <v>49</v>
      </c>
      <c r="F21" s="276">
        <f>In!G21</f>
        <v>0</v>
      </c>
      <c r="G21" s="159"/>
      <c r="H21" s="160"/>
      <c r="J21" s="349"/>
      <c r="K21" s="350"/>
      <c r="L21" s="350"/>
      <c r="M21" s="545"/>
    </row>
    <row r="22" spans="1:13" ht="18" customHeight="1" thickBot="1">
      <c r="A22" s="731">
        <v>1</v>
      </c>
      <c r="B22" s="220"/>
      <c r="C22" s="220"/>
      <c r="D22" s="277"/>
      <c r="E22" s="277" t="s">
        <v>49</v>
      </c>
      <c r="F22" s="278"/>
      <c r="G22" s="57"/>
      <c r="H22" s="161"/>
      <c r="J22" s="384" t="s">
        <v>149</v>
      </c>
      <c r="K22" s="385"/>
      <c r="L22" s="385"/>
      <c r="M22" s="305"/>
    </row>
    <row r="23" spans="1:13" ht="18" customHeight="1" thickBot="1">
      <c r="A23" s="732"/>
      <c r="B23" s="219"/>
      <c r="C23" s="219"/>
      <c r="D23" s="221"/>
      <c r="E23" s="277"/>
      <c r="F23" s="278"/>
      <c r="G23" s="198"/>
      <c r="H23" s="112"/>
      <c r="J23" s="541" t="s">
        <v>105</v>
      </c>
      <c r="K23" s="542"/>
      <c r="L23" s="542" t="s">
        <v>106</v>
      </c>
      <c r="M23" s="543"/>
    </row>
    <row r="24" spans="1:13" ht="18" customHeight="1">
      <c r="A24" s="732"/>
      <c r="B24" s="214"/>
      <c r="C24" s="214"/>
      <c r="D24" s="279"/>
      <c r="E24" s="228"/>
      <c r="F24" s="280"/>
      <c r="G24" s="162"/>
      <c r="H24" s="163"/>
      <c r="J24" s="500"/>
      <c r="K24" s="502"/>
      <c r="L24" s="505"/>
      <c r="M24" s="599"/>
    </row>
    <row r="25" spans="1:13" ht="18" customHeight="1" thickBot="1">
      <c r="A25" s="733"/>
      <c r="B25" s="274"/>
      <c r="C25" s="274"/>
      <c r="D25" s="281"/>
      <c r="E25" s="282"/>
      <c r="F25" s="283"/>
      <c r="G25" s="168"/>
      <c r="H25" s="32"/>
      <c r="J25" s="503"/>
      <c r="K25" s="504"/>
      <c r="L25" s="506"/>
      <c r="M25" s="533"/>
    </row>
    <row r="26" spans="1:13" ht="18" customHeight="1" thickBot="1">
      <c r="A26" s="731">
        <v>2</v>
      </c>
      <c r="B26" s="219"/>
      <c r="C26" s="219"/>
      <c r="D26" s="277"/>
      <c r="E26" s="277" t="s">
        <v>49</v>
      </c>
      <c r="F26" s="278"/>
      <c r="G26" s="162"/>
      <c r="H26" s="163"/>
      <c r="J26" s="503"/>
      <c r="K26" s="504"/>
      <c r="L26" s="506"/>
      <c r="M26" s="533"/>
    </row>
    <row r="27" spans="1:13" ht="18" customHeight="1" thickBot="1">
      <c r="A27" s="732"/>
      <c r="B27" s="219"/>
      <c r="C27" s="219"/>
      <c r="D27" s="284"/>
      <c r="E27" s="285"/>
      <c r="F27" s="284"/>
      <c r="G27" s="57"/>
      <c r="H27" s="161"/>
      <c r="J27" s="489"/>
      <c r="K27" s="491"/>
      <c r="L27" s="498"/>
      <c r="M27" s="499"/>
    </row>
    <row r="28" spans="1:13" ht="18" customHeight="1" thickBot="1">
      <c r="A28" s="732"/>
      <c r="B28" s="219"/>
      <c r="C28" s="219"/>
      <c r="D28" s="284"/>
      <c r="E28" s="285"/>
      <c r="F28" s="284"/>
      <c r="G28" s="198"/>
      <c r="H28" s="112"/>
      <c r="J28" s="384" t="s">
        <v>330</v>
      </c>
      <c r="K28" s="385"/>
      <c r="L28" s="385"/>
      <c r="M28" s="305"/>
    </row>
    <row r="29" spans="1:13" ht="18" customHeight="1" thickBot="1">
      <c r="A29" s="733"/>
      <c r="B29" s="284"/>
      <c r="C29" s="284"/>
      <c r="D29" s="284"/>
      <c r="E29" s="285"/>
      <c r="F29" s="284"/>
      <c r="G29" s="168"/>
      <c r="H29" s="32"/>
      <c r="J29" s="541" t="s">
        <v>105</v>
      </c>
      <c r="K29" s="542"/>
      <c r="L29" s="542" t="s">
        <v>106</v>
      </c>
      <c r="M29" s="543"/>
    </row>
    <row r="30" spans="1:13" ht="18" customHeight="1" thickBot="1">
      <c r="A30" s="731">
        <v>3</v>
      </c>
      <c r="B30" s="220"/>
      <c r="C30" s="220"/>
      <c r="D30" s="221"/>
      <c r="E30" s="277" t="s">
        <v>49</v>
      </c>
      <c r="F30" s="278"/>
      <c r="G30" s="57"/>
      <c r="H30" s="161"/>
      <c r="J30" s="500"/>
      <c r="K30" s="502"/>
      <c r="L30" s="505"/>
      <c r="M30" s="599"/>
    </row>
    <row r="31" spans="1:13" ht="18" customHeight="1">
      <c r="A31" s="732"/>
      <c r="B31" s="220"/>
      <c r="C31" s="220"/>
      <c r="D31" s="221"/>
      <c r="E31" s="277" t="s">
        <v>49</v>
      </c>
      <c r="F31" s="222"/>
      <c r="G31" s="198"/>
      <c r="H31" s="112"/>
      <c r="J31" s="503"/>
      <c r="K31" s="504"/>
      <c r="L31" s="506"/>
      <c r="M31" s="533"/>
    </row>
    <row r="32" spans="1:13" ht="18" customHeight="1" thickBot="1">
      <c r="A32" s="733"/>
      <c r="B32" s="164"/>
      <c r="C32" s="164"/>
      <c r="D32" s="165"/>
      <c r="E32" s="166"/>
      <c r="F32" s="167"/>
      <c r="G32" s="167"/>
      <c r="H32" s="169"/>
      <c r="J32" s="489"/>
      <c r="K32" s="491"/>
      <c r="L32" s="498"/>
      <c r="M32" s="499"/>
    </row>
    <row r="33" spans="1:14" ht="18" customHeight="1" thickBot="1">
      <c r="A33" s="731">
        <v>4</v>
      </c>
      <c r="B33" s="201"/>
      <c r="C33" s="201"/>
      <c r="D33" s="203"/>
      <c r="E33" s="203"/>
      <c r="F33" s="204"/>
      <c r="G33" s="57"/>
      <c r="H33" s="161"/>
      <c r="J33" s="138"/>
      <c r="K33" s="138"/>
      <c r="L33" s="170"/>
      <c r="M33" s="170"/>
      <c r="N33" s="109"/>
    </row>
    <row r="34" spans="1:14" ht="18" customHeight="1">
      <c r="A34" s="732"/>
      <c r="B34" s="200"/>
      <c r="C34" s="200"/>
      <c r="D34" s="205"/>
      <c r="E34" s="203"/>
      <c r="F34" s="206"/>
      <c r="G34" s="198"/>
      <c r="H34" s="112"/>
      <c r="J34" s="105" t="s">
        <v>32</v>
      </c>
      <c r="K34" s="106" t="s">
        <v>114</v>
      </c>
      <c r="L34" s="107" t="s">
        <v>150</v>
      </c>
      <c r="M34" s="108" t="s">
        <v>151</v>
      </c>
      <c r="N34" s="109"/>
    </row>
    <row r="35" spans="1:14" ht="19.95" customHeight="1">
      <c r="A35" s="732"/>
      <c r="B35" s="209"/>
      <c r="C35" s="209"/>
      <c r="D35" s="208"/>
      <c r="E35" s="208"/>
      <c r="F35" s="206"/>
      <c r="G35" s="198"/>
      <c r="H35" s="112"/>
      <c r="J35" s="54">
        <v>1</v>
      </c>
      <c r="K35" s="29"/>
      <c r="L35" s="29"/>
      <c r="M35" s="30"/>
      <c r="N35" s="110"/>
    </row>
    <row r="36" spans="1:14" ht="19.95" customHeight="1" thickBot="1">
      <c r="A36" s="733"/>
      <c r="B36" s="103"/>
      <c r="C36" s="103"/>
      <c r="D36" s="147"/>
      <c r="E36" s="31"/>
      <c r="F36" s="168"/>
      <c r="G36" s="168"/>
      <c r="H36" s="32"/>
      <c r="J36" s="54">
        <v>2</v>
      </c>
      <c r="K36" s="29"/>
      <c r="L36" s="29"/>
      <c r="M36" s="30"/>
      <c r="N36" s="110"/>
    </row>
    <row r="37" spans="1:14" ht="19.95" customHeight="1" thickBot="1">
      <c r="A37" s="734">
        <v>5</v>
      </c>
      <c r="B37" s="201"/>
      <c r="C37" s="201"/>
      <c r="D37" s="203"/>
      <c r="E37" s="203"/>
      <c r="F37" s="204"/>
      <c r="G37" s="57"/>
      <c r="H37" s="112"/>
      <c r="J37" s="54">
        <v>3</v>
      </c>
      <c r="K37" s="29"/>
      <c r="L37" s="29"/>
      <c r="M37" s="30"/>
      <c r="N37" s="110"/>
    </row>
    <row r="38" spans="1:14" ht="19.95" hidden="1" customHeight="1" thickBot="1">
      <c r="A38" s="732"/>
      <c r="B38" s="200"/>
      <c r="C38" s="200"/>
      <c r="D38" s="205"/>
      <c r="E38" s="203"/>
      <c r="F38" s="206"/>
      <c r="G38" s="198"/>
      <c r="H38" s="112"/>
      <c r="J38" s="54">
        <v>4</v>
      </c>
      <c r="K38" s="29"/>
      <c r="L38" s="29"/>
      <c r="M38" s="30"/>
      <c r="N38" s="110"/>
    </row>
    <row r="39" spans="1:14" ht="19.95" hidden="1" customHeight="1" thickBot="1">
      <c r="A39" s="732"/>
      <c r="B39" s="202"/>
      <c r="C39" s="202"/>
      <c r="D39" s="205"/>
      <c r="E39" s="203"/>
      <c r="F39" s="206"/>
      <c r="G39" s="198"/>
      <c r="H39" s="112"/>
      <c r="J39" s="54">
        <v>5</v>
      </c>
      <c r="K39" s="29"/>
      <c r="L39" s="29"/>
      <c r="M39" s="30"/>
      <c r="N39" s="110"/>
    </row>
    <row r="40" spans="1:14" ht="19.95" hidden="1" customHeight="1" thickBot="1">
      <c r="A40" s="732"/>
      <c r="B40" s="45"/>
      <c r="C40" s="45"/>
      <c r="D40" s="60"/>
      <c r="E40" s="29"/>
      <c r="F40" s="198"/>
      <c r="G40" s="198"/>
      <c r="H40" s="112"/>
      <c r="J40" s="54">
        <v>6</v>
      </c>
      <c r="K40" s="29"/>
      <c r="L40" s="29"/>
      <c r="M40" s="30"/>
      <c r="N40" s="110"/>
    </row>
    <row r="41" spans="1:14" ht="19.95" customHeight="1" thickBot="1">
      <c r="A41" s="732"/>
      <c r="B41" s="200"/>
      <c r="C41" s="200"/>
      <c r="D41" s="205"/>
      <c r="E41" s="203"/>
      <c r="F41" s="206"/>
      <c r="G41" s="45"/>
      <c r="H41" s="112"/>
      <c r="J41" s="54">
        <v>4</v>
      </c>
      <c r="K41" s="29"/>
      <c r="L41" s="29"/>
      <c r="M41" s="30"/>
      <c r="N41" s="110"/>
    </row>
    <row r="42" spans="1:14" ht="19.95" customHeight="1">
      <c r="A42" s="732"/>
      <c r="B42" s="209"/>
      <c r="C42" s="209"/>
      <c r="D42" s="205"/>
      <c r="E42" s="203"/>
      <c r="F42" s="206"/>
      <c r="G42" s="177"/>
      <c r="H42" s="207"/>
      <c r="J42" s="54">
        <v>5</v>
      </c>
      <c r="K42" s="63"/>
      <c r="L42" s="63"/>
      <c r="M42" s="64"/>
      <c r="N42" s="110"/>
    </row>
    <row r="43" spans="1:14" ht="19.95" customHeight="1" thickBot="1">
      <c r="A43" s="733"/>
      <c r="B43" s="200"/>
      <c r="C43" s="200"/>
      <c r="D43" s="200"/>
      <c r="E43" s="200"/>
      <c r="F43" s="198"/>
      <c r="G43" s="103"/>
      <c r="H43" s="32"/>
      <c r="J43" s="54">
        <v>6</v>
      </c>
      <c r="K43" s="31"/>
      <c r="L43" s="31"/>
      <c r="M43" s="69"/>
      <c r="N43" s="110"/>
    </row>
    <row r="44" spans="1:14" ht="19.95" customHeight="1" thickBot="1">
      <c r="A44" s="34"/>
      <c r="B44" s="25"/>
      <c r="C44" s="376"/>
      <c r="D44" s="376"/>
      <c r="E44" s="171"/>
      <c r="F44" s="172"/>
      <c r="G44" s="173"/>
      <c r="H44" s="34"/>
      <c r="J44" s="83"/>
      <c r="K44" s="27"/>
      <c r="L44" s="83"/>
      <c r="M44" s="83"/>
      <c r="N44" s="109"/>
    </row>
    <row r="45" spans="1:14" ht="19.95" customHeight="1">
      <c r="A45" s="384" t="s">
        <v>32</v>
      </c>
      <c r="B45" s="385" t="s">
        <v>152</v>
      </c>
      <c r="C45" s="385"/>
      <c r="D45" s="320" t="s">
        <v>153</v>
      </c>
      <c r="E45" s="492" t="s">
        <v>154</v>
      </c>
      <c r="F45" s="492"/>
      <c r="G45" s="385" t="s">
        <v>35</v>
      </c>
      <c r="H45" s="305" t="s">
        <v>106</v>
      </c>
      <c r="J45" s="384" t="s">
        <v>155</v>
      </c>
      <c r="K45" s="320" t="s">
        <v>156</v>
      </c>
      <c r="L45" s="385" t="s">
        <v>157</v>
      </c>
      <c r="M45" s="305" t="s">
        <v>158</v>
      </c>
      <c r="N45" s="110"/>
    </row>
    <row r="46" spans="1:14" ht="19.95" customHeight="1">
      <c r="A46" s="541"/>
      <c r="B46" s="542"/>
      <c r="C46" s="542"/>
      <c r="D46" s="398"/>
      <c r="E46" s="90" t="s">
        <v>159</v>
      </c>
      <c r="F46" s="90" t="s">
        <v>159</v>
      </c>
      <c r="G46" s="542"/>
      <c r="H46" s="543"/>
      <c r="J46" s="541"/>
      <c r="K46" s="398"/>
      <c r="L46" s="542"/>
      <c r="M46" s="543"/>
      <c r="N46" s="110"/>
    </row>
    <row r="47" spans="1:14" ht="19.95" customHeight="1">
      <c r="A47" s="54">
        <v>1</v>
      </c>
      <c r="B47" s="716" t="s">
        <v>160</v>
      </c>
      <c r="C47" s="447"/>
      <c r="D47" s="299"/>
      <c r="E47" s="61"/>
      <c r="F47" s="140"/>
      <c r="G47" s="29" t="s">
        <v>161</v>
      </c>
      <c r="H47" s="30"/>
      <c r="J47" s="365"/>
      <c r="K47" s="366"/>
      <c r="L47" s="366"/>
      <c r="M47" s="544"/>
      <c r="N47" s="110"/>
    </row>
    <row r="48" spans="1:14" ht="19.95" customHeight="1">
      <c r="A48" s="54">
        <v>2</v>
      </c>
      <c r="B48" s="716" t="s">
        <v>162</v>
      </c>
      <c r="C48" s="447"/>
      <c r="D48" s="46" t="s">
        <v>163</v>
      </c>
      <c r="E48" s="61"/>
      <c r="F48" s="140"/>
      <c r="G48" s="29" t="s">
        <v>164</v>
      </c>
      <c r="H48" s="30"/>
      <c r="J48" s="365"/>
      <c r="K48" s="366"/>
      <c r="L48" s="366"/>
      <c r="M48" s="544"/>
      <c r="N48" s="110"/>
    </row>
    <row r="49" spans="1:14" ht="19.95" customHeight="1">
      <c r="A49" s="54">
        <v>3</v>
      </c>
      <c r="B49" s="716" t="s">
        <v>165</v>
      </c>
      <c r="C49" s="447"/>
      <c r="D49" s="46" t="s">
        <v>166</v>
      </c>
      <c r="E49" s="61"/>
      <c r="F49" s="140"/>
      <c r="G49" s="29" t="s">
        <v>164</v>
      </c>
      <c r="H49" s="30"/>
      <c r="J49" s="365"/>
      <c r="K49" s="366"/>
      <c r="L49" s="366"/>
      <c r="M49" s="544"/>
      <c r="N49" s="110"/>
    </row>
    <row r="50" spans="1:14" ht="19.95" customHeight="1">
      <c r="A50" s="54">
        <v>4</v>
      </c>
      <c r="B50" s="716" t="s">
        <v>167</v>
      </c>
      <c r="C50" s="447"/>
      <c r="D50" s="299"/>
      <c r="E50" s="61"/>
      <c r="F50" s="140"/>
      <c r="G50" s="29" t="s">
        <v>108</v>
      </c>
      <c r="H50" s="30"/>
      <c r="J50" s="365"/>
      <c r="K50" s="366"/>
      <c r="L50" s="366"/>
      <c r="M50" s="544"/>
      <c r="N50" s="110"/>
    </row>
    <row r="51" spans="1:14" ht="19.95" customHeight="1">
      <c r="A51" s="54">
        <v>5</v>
      </c>
      <c r="B51" s="716" t="s">
        <v>168</v>
      </c>
      <c r="C51" s="447"/>
      <c r="D51" s="46" t="s">
        <v>169</v>
      </c>
      <c r="E51" s="61"/>
      <c r="F51" s="140"/>
      <c r="G51" s="29" t="s">
        <v>170</v>
      </c>
      <c r="H51" s="30"/>
      <c r="J51" s="365"/>
      <c r="K51" s="366"/>
      <c r="L51" s="366"/>
      <c r="M51" s="544"/>
      <c r="N51" s="110"/>
    </row>
    <row r="52" spans="1:14" ht="19.95" customHeight="1">
      <c r="A52" s="54">
        <v>6</v>
      </c>
      <c r="B52" s="716" t="s">
        <v>171</v>
      </c>
      <c r="C52" s="447"/>
      <c r="D52" s="46" t="s">
        <v>172</v>
      </c>
      <c r="E52" s="61"/>
      <c r="F52" s="140"/>
      <c r="G52" s="29" t="s">
        <v>173</v>
      </c>
      <c r="H52" s="30"/>
      <c r="J52" s="365"/>
      <c r="K52" s="366"/>
      <c r="L52" s="366"/>
      <c r="M52" s="544"/>
      <c r="N52" s="110"/>
    </row>
    <row r="53" spans="1:14" ht="19.95" customHeight="1">
      <c r="A53" s="54">
        <v>7</v>
      </c>
      <c r="B53" s="716" t="s">
        <v>174</v>
      </c>
      <c r="C53" s="447"/>
      <c r="D53" s="46">
        <v>2</v>
      </c>
      <c r="E53" s="61"/>
      <c r="F53" s="140"/>
      <c r="G53" s="29" t="s">
        <v>175</v>
      </c>
      <c r="H53" s="30"/>
      <c r="J53" s="541"/>
      <c r="K53" s="542"/>
      <c r="L53" s="542"/>
      <c r="M53" s="543"/>
      <c r="N53" s="110"/>
    </row>
    <row r="54" spans="1:14" ht="19.95" customHeight="1">
      <c r="A54" s="54">
        <v>8</v>
      </c>
      <c r="B54" s="716" t="s">
        <v>176</v>
      </c>
      <c r="C54" s="447"/>
      <c r="D54" s="46" t="s">
        <v>177</v>
      </c>
      <c r="E54" s="61"/>
      <c r="F54" s="140"/>
      <c r="G54" s="29" t="s">
        <v>178</v>
      </c>
      <c r="H54" s="30"/>
      <c r="J54" s="541"/>
      <c r="K54" s="542"/>
      <c r="L54" s="542"/>
      <c r="M54" s="543"/>
      <c r="N54" s="110"/>
    </row>
    <row r="55" spans="1:14" ht="19.95" customHeight="1">
      <c r="A55" s="54">
        <v>9</v>
      </c>
      <c r="B55" s="716" t="s">
        <v>179</v>
      </c>
      <c r="C55" s="447"/>
      <c r="D55" s="46" t="s">
        <v>180</v>
      </c>
      <c r="E55" s="61"/>
      <c r="F55" s="140"/>
      <c r="G55" s="29"/>
      <c r="H55" s="30"/>
      <c r="J55" s="541"/>
      <c r="K55" s="542"/>
      <c r="L55" s="542"/>
      <c r="M55" s="543"/>
      <c r="N55" s="110"/>
    </row>
    <row r="56" spans="1:14" ht="19.95" customHeight="1" thickBot="1">
      <c r="A56" s="70"/>
      <c r="B56" s="751"/>
      <c r="C56" s="448"/>
      <c r="D56" s="142"/>
      <c r="E56" s="100"/>
      <c r="F56" s="124"/>
      <c r="G56" s="31"/>
      <c r="H56" s="69"/>
      <c r="J56" s="750"/>
      <c r="K56" s="563"/>
      <c r="L56" s="563"/>
      <c r="M56" s="306"/>
      <c r="N56" s="110"/>
    </row>
    <row r="57" spans="1:14" ht="19.95" customHeight="1" thickBot="1">
      <c r="A57" s="34"/>
      <c r="B57" s="376"/>
      <c r="C57" s="376"/>
      <c r="D57" s="25"/>
      <c r="E57" s="25"/>
      <c r="F57" s="143"/>
      <c r="G57" s="34"/>
      <c r="H57" s="34"/>
      <c r="J57" s="83"/>
      <c r="K57" s="83"/>
      <c r="L57" s="83"/>
      <c r="M57" s="83"/>
      <c r="N57" s="110"/>
    </row>
    <row r="58" spans="1:14" ht="19.95" customHeight="1">
      <c r="A58" s="384" t="s">
        <v>32</v>
      </c>
      <c r="B58" s="385" t="s">
        <v>181</v>
      </c>
      <c r="C58" s="385"/>
      <c r="D58" s="320" t="s">
        <v>153</v>
      </c>
      <c r="E58" s="492" t="s">
        <v>154</v>
      </c>
      <c r="F58" s="492"/>
      <c r="G58" s="385" t="s">
        <v>35</v>
      </c>
      <c r="H58" s="305" t="s">
        <v>106</v>
      </c>
      <c r="J58" s="384" t="s">
        <v>116</v>
      </c>
      <c r="K58" s="385"/>
      <c r="L58" s="385"/>
      <c r="M58" s="305"/>
      <c r="N58" s="110"/>
    </row>
    <row r="59" spans="1:14" ht="19.95" customHeight="1">
      <c r="A59" s="541"/>
      <c r="B59" s="542"/>
      <c r="C59" s="542"/>
      <c r="D59" s="398"/>
      <c r="E59" s="90" t="s">
        <v>159</v>
      </c>
      <c r="F59" s="90" t="s">
        <v>159</v>
      </c>
      <c r="G59" s="542"/>
      <c r="H59" s="543"/>
      <c r="J59" s="503"/>
      <c r="K59" s="463"/>
      <c r="L59" s="463"/>
      <c r="M59" s="533"/>
      <c r="N59" s="110"/>
    </row>
    <row r="60" spans="1:14" ht="19.95" customHeight="1">
      <c r="A60" s="54">
        <v>1</v>
      </c>
      <c r="B60" s="716" t="s">
        <v>182</v>
      </c>
      <c r="C60" s="447"/>
      <c r="D60" s="61" t="s">
        <v>183</v>
      </c>
      <c r="E60" s="61"/>
      <c r="F60" s="140"/>
      <c r="G60" s="29"/>
      <c r="H60" s="30"/>
      <c r="J60" s="744"/>
      <c r="K60" s="745"/>
      <c r="L60" s="745"/>
      <c r="M60" s="746"/>
      <c r="N60" s="110"/>
    </row>
    <row r="61" spans="1:14" ht="19.95" customHeight="1">
      <c r="A61" s="54">
        <v>2</v>
      </c>
      <c r="B61" s="716" t="s">
        <v>184</v>
      </c>
      <c r="C61" s="447"/>
      <c r="D61" s="61" t="s">
        <v>180</v>
      </c>
      <c r="E61" s="61"/>
      <c r="F61" s="140"/>
      <c r="G61" s="29"/>
      <c r="H61" s="30"/>
      <c r="J61" s="744"/>
      <c r="K61" s="745"/>
      <c r="L61" s="745"/>
      <c r="M61" s="746"/>
      <c r="N61" s="110"/>
    </row>
    <row r="62" spans="1:14" ht="19.95" customHeight="1">
      <c r="A62" s="54">
        <v>3</v>
      </c>
      <c r="B62" s="716" t="s">
        <v>185</v>
      </c>
      <c r="C62" s="447"/>
      <c r="D62" s="61" t="s">
        <v>186</v>
      </c>
      <c r="E62" s="61"/>
      <c r="F62" s="140"/>
      <c r="G62" s="29"/>
      <c r="H62" s="30"/>
      <c r="J62" s="744"/>
      <c r="K62" s="745"/>
      <c r="L62" s="745"/>
      <c r="M62" s="746"/>
      <c r="N62" s="110"/>
    </row>
    <row r="63" spans="1:14" ht="26.4" customHeight="1">
      <c r="A63" s="734">
        <v>4</v>
      </c>
      <c r="B63" s="739" t="s">
        <v>187</v>
      </c>
      <c r="C63" s="740"/>
      <c r="D63" s="717" t="s">
        <v>188</v>
      </c>
      <c r="E63" s="720"/>
      <c r="F63" s="720"/>
      <c r="G63" s="720"/>
      <c r="H63" s="736"/>
      <c r="J63" s="744"/>
      <c r="K63" s="745"/>
      <c r="L63" s="745"/>
      <c r="M63" s="746"/>
      <c r="N63" s="110"/>
    </row>
    <row r="64" spans="1:14" ht="26.4" customHeight="1">
      <c r="A64" s="732"/>
      <c r="B64" s="741"/>
      <c r="C64" s="452"/>
      <c r="D64" s="718"/>
      <c r="E64" s="721"/>
      <c r="F64" s="721"/>
      <c r="G64" s="721"/>
      <c r="H64" s="737"/>
      <c r="J64" s="744"/>
      <c r="K64" s="745"/>
      <c r="L64" s="745"/>
      <c r="M64" s="746"/>
      <c r="N64" s="110"/>
    </row>
    <row r="65" spans="1:14" ht="26.4" customHeight="1" thickBot="1">
      <c r="A65" s="733"/>
      <c r="B65" s="742"/>
      <c r="C65" s="743"/>
      <c r="D65" s="719"/>
      <c r="E65" s="722"/>
      <c r="F65" s="722"/>
      <c r="G65" s="722"/>
      <c r="H65" s="738"/>
      <c r="J65" s="747"/>
      <c r="K65" s="748"/>
      <c r="L65" s="748"/>
      <c r="M65" s="749"/>
      <c r="N65" s="110"/>
    </row>
    <row r="66" spans="1:14" ht="18" customHeight="1" thickBot="1">
      <c r="B66" s="115"/>
      <c r="C66" s="116"/>
      <c r="D66" s="116"/>
      <c r="E66" s="116"/>
      <c r="F66" s="116"/>
      <c r="G66" s="116"/>
      <c r="H66" s="116"/>
      <c r="N66" s="110"/>
    </row>
    <row r="67" spans="1:14" ht="18" customHeight="1">
      <c r="A67" s="735" t="s">
        <v>189</v>
      </c>
      <c r="B67" s="348"/>
      <c r="C67" s="348"/>
      <c r="D67" s="348"/>
      <c r="E67" s="348"/>
      <c r="F67" s="348"/>
      <c r="G67" s="348"/>
      <c r="H67" s="557"/>
      <c r="I67" s="34"/>
      <c r="J67" s="318" t="s">
        <v>327</v>
      </c>
      <c r="K67" s="320"/>
      <c r="L67" s="320" t="s">
        <v>328</v>
      </c>
      <c r="M67" s="396"/>
    </row>
    <row r="68" spans="1:14" ht="18" customHeight="1">
      <c r="A68" s="471" t="s">
        <v>126</v>
      </c>
      <c r="B68" s="472"/>
      <c r="C68" s="472"/>
      <c r="D68" s="473"/>
      <c r="E68" s="477" t="s">
        <v>190</v>
      </c>
      <c r="F68" s="472"/>
      <c r="G68" s="472"/>
      <c r="H68" s="478"/>
      <c r="J68" s="397"/>
      <c r="K68" s="398"/>
      <c r="L68" s="398"/>
      <c r="M68" s="399"/>
    </row>
    <row r="69" spans="1:14" ht="18" customHeight="1">
      <c r="A69" s="372"/>
      <c r="B69" s="723"/>
      <c r="C69" s="723"/>
      <c r="D69" s="373"/>
      <c r="E69" s="725"/>
      <c r="F69" s="723"/>
      <c r="G69" s="723"/>
      <c r="H69" s="726"/>
      <c r="J69" s="397"/>
      <c r="K69" s="398"/>
      <c r="L69" s="398"/>
      <c r="M69" s="399"/>
    </row>
    <row r="70" spans="1:14" ht="18" customHeight="1">
      <c r="A70" s="537"/>
      <c r="B70" s="423"/>
      <c r="C70" s="423"/>
      <c r="D70" s="538"/>
      <c r="E70" s="727"/>
      <c r="F70" s="423"/>
      <c r="G70" s="423"/>
      <c r="H70" s="728"/>
      <c r="J70" s="397"/>
      <c r="K70" s="398"/>
      <c r="L70" s="398"/>
      <c r="M70" s="399"/>
    </row>
    <row r="71" spans="1:14" ht="18" customHeight="1" thickBot="1">
      <c r="A71" s="539"/>
      <c r="B71" s="724"/>
      <c r="C71" s="724"/>
      <c r="D71" s="540"/>
      <c r="E71" s="729"/>
      <c r="F71" s="724"/>
      <c r="G71" s="724"/>
      <c r="H71" s="730"/>
      <c r="J71" s="400"/>
      <c r="K71" s="401"/>
      <c r="L71" s="401"/>
      <c r="M71" s="402"/>
    </row>
    <row r="74" spans="1:14">
      <c r="D74" s="423"/>
      <c r="E74" s="423"/>
      <c r="F74" s="423"/>
      <c r="G74" s="423"/>
    </row>
    <row r="75" spans="1:14">
      <c r="B75" s="376"/>
      <c r="C75" s="376"/>
      <c r="D75" s="467"/>
      <c r="E75" s="467"/>
      <c r="F75" s="467"/>
      <c r="G75" s="467"/>
    </row>
    <row r="76" spans="1:14">
      <c r="B76" s="376"/>
      <c r="C76" s="376"/>
      <c r="D76" s="467"/>
      <c r="E76" s="467"/>
      <c r="F76" s="470"/>
      <c r="G76" s="470"/>
    </row>
    <row r="77" spans="1:14">
      <c r="B77" s="376"/>
      <c r="C77" s="376"/>
      <c r="D77" s="467"/>
      <c r="E77" s="467"/>
      <c r="F77" s="468"/>
      <c r="G77" s="468"/>
    </row>
    <row r="78" spans="1:14">
      <c r="B78" s="376"/>
      <c r="C78" s="376"/>
      <c r="D78" s="467"/>
      <c r="E78" s="467"/>
      <c r="F78" s="467"/>
      <c r="G78" s="467"/>
    </row>
    <row r="79" spans="1:14">
      <c r="B79" s="376"/>
      <c r="C79" s="376"/>
      <c r="D79" s="467"/>
      <c r="E79" s="467"/>
      <c r="F79" s="467"/>
      <c r="G79" s="467"/>
    </row>
    <row r="80" spans="1:14">
      <c r="B80" s="376"/>
      <c r="C80" s="376"/>
      <c r="D80" s="467"/>
      <c r="E80" s="467"/>
      <c r="F80" s="468"/>
      <c r="G80" s="468"/>
    </row>
    <row r="81" spans="2:7">
      <c r="B81" s="376"/>
      <c r="C81" s="376"/>
      <c r="D81" s="467"/>
      <c r="E81" s="467"/>
      <c r="F81" s="468"/>
      <c r="G81" s="468"/>
    </row>
    <row r="82" spans="2:7">
      <c r="B82" s="376"/>
      <c r="C82" s="376"/>
      <c r="D82" s="467"/>
      <c r="E82" s="467"/>
      <c r="F82" s="468"/>
      <c r="G82" s="468"/>
    </row>
    <row r="83" spans="2:7">
      <c r="B83" s="376"/>
      <c r="C83" s="376"/>
      <c r="D83" s="467"/>
      <c r="E83" s="467"/>
      <c r="F83" s="469"/>
      <c r="G83" s="469"/>
    </row>
  </sheetData>
  <mergeCells count="156">
    <mergeCell ref="K1:M1"/>
    <mergeCell ref="K2:M2"/>
    <mergeCell ref="K3:M3"/>
    <mergeCell ref="A5:B5"/>
    <mergeCell ref="C5:H5"/>
    <mergeCell ref="A6:B6"/>
    <mergeCell ref="C6:H6"/>
    <mergeCell ref="A7:B7"/>
    <mergeCell ref="C7:H7"/>
    <mergeCell ref="A1:B3"/>
    <mergeCell ref="C1:J3"/>
    <mergeCell ref="A13:B13"/>
    <mergeCell ref="C13:G13"/>
    <mergeCell ref="H13:M13"/>
    <mergeCell ref="A15:H15"/>
    <mergeCell ref="J15:M15"/>
    <mergeCell ref="C16:D16"/>
    <mergeCell ref="E16:F16"/>
    <mergeCell ref="G16:H16"/>
    <mergeCell ref="J16:K16"/>
    <mergeCell ref="L16:M16"/>
    <mergeCell ref="A8:B8"/>
    <mergeCell ref="C8:H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L49:L50"/>
    <mergeCell ref="L51:L52"/>
    <mergeCell ref="L53:L54"/>
    <mergeCell ref="L55:L56"/>
    <mergeCell ref="M49:M50"/>
    <mergeCell ref="M51:M52"/>
    <mergeCell ref="M53:M54"/>
    <mergeCell ref="M55:M56"/>
    <mergeCell ref="J17:K21"/>
    <mergeCell ref="L17:M21"/>
    <mergeCell ref="L23:M23"/>
    <mergeCell ref="J22:M22"/>
    <mergeCell ref="M45:M46"/>
    <mergeCell ref="M47:M48"/>
    <mergeCell ref="J23:K23"/>
    <mergeCell ref="J24:K27"/>
    <mergeCell ref="L24:M27"/>
    <mergeCell ref="J28:M28"/>
    <mergeCell ref="J29:K29"/>
    <mergeCell ref="L29:M29"/>
    <mergeCell ref="J30:K32"/>
    <mergeCell ref="L30:M32"/>
    <mergeCell ref="J51:J52"/>
    <mergeCell ref="J53:J54"/>
    <mergeCell ref="J55:J56"/>
    <mergeCell ref="K49:K50"/>
    <mergeCell ref="K51:K52"/>
    <mergeCell ref="K53:K54"/>
    <mergeCell ref="K55:K56"/>
    <mergeCell ref="B51:C51"/>
    <mergeCell ref="B52:C52"/>
    <mergeCell ref="B53:C53"/>
    <mergeCell ref="B54:C54"/>
    <mergeCell ref="B55:C55"/>
    <mergeCell ref="B56:C56"/>
    <mergeCell ref="H63:H65"/>
    <mergeCell ref="B63:C65"/>
    <mergeCell ref="B62:C62"/>
    <mergeCell ref="J62:M62"/>
    <mergeCell ref="H58:H59"/>
    <mergeCell ref="B58:C59"/>
    <mergeCell ref="E58:F58"/>
    <mergeCell ref="J58:M58"/>
    <mergeCell ref="J63:M63"/>
    <mergeCell ref="J64:M64"/>
    <mergeCell ref="J65:M65"/>
    <mergeCell ref="J59:M59"/>
    <mergeCell ref="B60:C60"/>
    <mergeCell ref="J60:M60"/>
    <mergeCell ref="B61:C61"/>
    <mergeCell ref="J61:M61"/>
    <mergeCell ref="A67:H67"/>
    <mergeCell ref="A68:D68"/>
    <mergeCell ref="E68:H68"/>
    <mergeCell ref="D74:E74"/>
    <mergeCell ref="F74:G74"/>
    <mergeCell ref="B75:C75"/>
    <mergeCell ref="D75:E75"/>
    <mergeCell ref="F75:G75"/>
    <mergeCell ref="B79:C79"/>
    <mergeCell ref="F76:G76"/>
    <mergeCell ref="B77:C77"/>
    <mergeCell ref="D77:E77"/>
    <mergeCell ref="F77:G77"/>
    <mergeCell ref="B78:C78"/>
    <mergeCell ref="D78:E78"/>
    <mergeCell ref="F78:G78"/>
    <mergeCell ref="J67:K68"/>
    <mergeCell ref="L67:M68"/>
    <mergeCell ref="A69:D71"/>
    <mergeCell ref="E69:H71"/>
    <mergeCell ref="J69:K71"/>
    <mergeCell ref="L69:M71"/>
    <mergeCell ref="A18:A21"/>
    <mergeCell ref="A22:A25"/>
    <mergeCell ref="A33:A36"/>
    <mergeCell ref="A37:A43"/>
    <mergeCell ref="A45:A46"/>
    <mergeCell ref="A58:A59"/>
    <mergeCell ref="A63:A65"/>
    <mergeCell ref="B18:B19"/>
    <mergeCell ref="C18:C19"/>
    <mergeCell ref="B50:C50"/>
    <mergeCell ref="B57:C57"/>
    <mergeCell ref="L45:L46"/>
    <mergeCell ref="L47:L48"/>
    <mergeCell ref="B47:C47"/>
    <mergeCell ref="B48:C48"/>
    <mergeCell ref="E45:F45"/>
    <mergeCell ref="A30:A32"/>
    <mergeCell ref="A26:A29"/>
    <mergeCell ref="B82:C82"/>
    <mergeCell ref="D82:E82"/>
    <mergeCell ref="F82:G82"/>
    <mergeCell ref="B83:C83"/>
    <mergeCell ref="D83:E83"/>
    <mergeCell ref="F83:G83"/>
    <mergeCell ref="D45:D46"/>
    <mergeCell ref="D58:D59"/>
    <mergeCell ref="D63:D65"/>
    <mergeCell ref="E63:E65"/>
    <mergeCell ref="F63:F65"/>
    <mergeCell ref="G45:G46"/>
    <mergeCell ref="G58:G59"/>
    <mergeCell ref="G63:G65"/>
    <mergeCell ref="B81:C81"/>
    <mergeCell ref="D81:E81"/>
    <mergeCell ref="F81:G81"/>
    <mergeCell ref="B76:C76"/>
    <mergeCell ref="D76:E76"/>
    <mergeCell ref="D79:E79"/>
    <mergeCell ref="F79:G79"/>
    <mergeCell ref="B80:C80"/>
    <mergeCell ref="D80:E80"/>
    <mergeCell ref="F80:G80"/>
    <mergeCell ref="C44:D44"/>
    <mergeCell ref="B49:C49"/>
    <mergeCell ref="H45:H46"/>
    <mergeCell ref="J45:J46"/>
    <mergeCell ref="J47:J48"/>
    <mergeCell ref="K45:K46"/>
    <mergeCell ref="K47:K48"/>
    <mergeCell ref="B45:C46"/>
    <mergeCell ref="J49:J50"/>
  </mergeCells>
  <conditionalFormatting sqref="C44">
    <cfRule type="duplicateValues" dxfId="59" priority="127" stopIfTrue="1"/>
    <cfRule type="duplicateValues" dxfId="58" priority="128" stopIfTrue="1"/>
    <cfRule type="duplicateValues" dxfId="57" priority="129" stopIfTrue="1"/>
    <cfRule type="duplicateValues" dxfId="56" priority="130" stopIfTrue="1"/>
    <cfRule type="duplicateValues" dxfId="55" priority="131" stopIfTrue="1"/>
    <cfRule type="duplicateValues" dxfId="54" priority="132" stopIfTrue="1"/>
  </conditionalFormatting>
  <printOptions horizontalCentered="1"/>
  <pageMargins left="0.23622047244094499" right="0.23622047244094499" top="0.39305555555555599" bottom="0.31458333333333299" header="0.31496062992126" footer="0.31496062992126"/>
  <pageSetup paperSize="9" scale="59" orientation="portrait" horizontalDpi="300" verticalDpi="30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00B0F0"/>
    <pageSetUpPr fitToPage="1"/>
  </sheetPr>
  <dimension ref="A1:X72"/>
  <sheetViews>
    <sheetView showGridLines="0" view="pageBreakPreview" zoomScale="85" zoomScaleNormal="100" zoomScalePageLayoutView="85" workbookViewId="0">
      <selection activeCell="G16" sqref="G16:H16"/>
    </sheetView>
  </sheetViews>
  <sheetFormatPr defaultColWidth="8.88671875" defaultRowHeight="13.8"/>
  <cols>
    <col min="1" max="1" width="4" style="26" customWidth="1"/>
    <col min="2" max="2" width="20" style="26" customWidth="1"/>
    <col min="3" max="3" width="12.5546875" style="26" customWidth="1"/>
    <col min="4" max="4" width="16.44140625" style="26" customWidth="1"/>
    <col min="5" max="6" width="10.44140625" style="26" customWidth="1"/>
    <col min="7" max="8" width="10.33203125" style="26" customWidth="1"/>
    <col min="9" max="9" width="1.77734375" style="26" customWidth="1"/>
    <col min="10" max="10" width="10.109375" style="26" customWidth="1"/>
    <col min="11" max="11" width="11.109375" style="26" customWidth="1"/>
    <col min="12" max="12" width="9.88671875" style="26" customWidth="1"/>
    <col min="13" max="13" width="8.88671875" style="26" customWidth="1"/>
    <col min="14" max="14" width="8.88671875" style="26"/>
    <col min="15" max="15" width="9.88671875" style="26" customWidth="1"/>
    <col min="16" max="16" width="50.6640625" style="26" customWidth="1"/>
    <col min="17" max="17" width="35.5546875" style="26" customWidth="1"/>
    <col min="18" max="16384" width="8.88671875" style="26"/>
  </cols>
  <sheetData>
    <row r="1" spans="1:24" ht="19.05" customHeight="1">
      <c r="A1" s="758"/>
      <c r="B1" s="759"/>
      <c r="C1" s="764" t="s">
        <v>139</v>
      </c>
      <c r="D1" s="765"/>
      <c r="E1" s="765"/>
      <c r="F1" s="765"/>
      <c r="G1" s="765"/>
      <c r="H1" s="765"/>
      <c r="I1" s="765"/>
      <c r="J1" s="766"/>
      <c r="K1" s="582" t="s">
        <v>140</v>
      </c>
      <c r="L1" s="583"/>
      <c r="M1" s="584"/>
    </row>
    <row r="2" spans="1:24" ht="19.05" customHeight="1">
      <c r="A2" s="760"/>
      <c r="B2" s="761"/>
      <c r="C2" s="767"/>
      <c r="D2" s="465"/>
      <c r="E2" s="465"/>
      <c r="F2" s="465"/>
      <c r="G2" s="465"/>
      <c r="H2" s="465"/>
      <c r="I2" s="465"/>
      <c r="J2" s="511"/>
      <c r="K2" s="585" t="s">
        <v>87</v>
      </c>
      <c r="L2" s="586"/>
      <c r="M2" s="587"/>
    </row>
    <row r="3" spans="1:24" ht="19.05" customHeight="1">
      <c r="A3" s="762"/>
      <c r="B3" s="763"/>
      <c r="C3" s="768"/>
      <c r="D3" s="769"/>
      <c r="E3" s="769"/>
      <c r="F3" s="769"/>
      <c r="G3" s="769"/>
      <c r="H3" s="769"/>
      <c r="I3" s="769"/>
      <c r="J3" s="770"/>
      <c r="K3" s="588" t="s">
        <v>88</v>
      </c>
      <c r="L3" s="589"/>
      <c r="M3" s="590"/>
      <c r="P3" s="36"/>
      <c r="Q3" s="36"/>
      <c r="S3" s="152"/>
    </row>
    <row r="4" spans="1:24" ht="15" customHeight="1">
      <c r="A4" s="34"/>
      <c r="C4" s="82"/>
      <c r="P4" s="36"/>
      <c r="Q4" s="36"/>
      <c r="S4" s="152"/>
    </row>
    <row r="5" spans="1:24" ht="15" customHeight="1">
      <c r="A5" s="518" t="s">
        <v>89</v>
      </c>
      <c r="B5" s="518"/>
      <c r="C5" s="581">
        <f>'In 2'!C5</f>
        <v>0</v>
      </c>
      <c r="D5" s="581"/>
      <c r="E5" s="581"/>
      <c r="F5" s="581"/>
      <c r="G5" s="581"/>
      <c r="H5" s="581"/>
      <c r="I5" s="83" t="s">
        <v>3</v>
      </c>
      <c r="J5" s="83"/>
      <c r="K5" s="269">
        <f>'In 2'!K5</f>
        <v>0</v>
      </c>
      <c r="P5" s="36"/>
      <c r="Q5" s="36"/>
      <c r="S5" s="152"/>
      <c r="U5" s="26" t="s">
        <v>59</v>
      </c>
      <c r="V5" s="26" t="s">
        <v>60</v>
      </c>
      <c r="W5" s="26" t="s">
        <v>61</v>
      </c>
      <c r="X5" s="26" t="s">
        <v>62</v>
      </c>
    </row>
    <row r="6" spans="1:24" ht="15" customHeight="1">
      <c r="A6" s="521" t="s">
        <v>90</v>
      </c>
      <c r="B6" s="521"/>
      <c r="C6" s="757">
        <f>'In 2'!C6</f>
        <v>0</v>
      </c>
      <c r="D6" s="757"/>
      <c r="E6" s="757"/>
      <c r="F6" s="757"/>
      <c r="G6" s="757"/>
      <c r="H6" s="757"/>
      <c r="I6" s="83" t="s">
        <v>141</v>
      </c>
      <c r="J6" s="83"/>
      <c r="K6" s="267" t="s">
        <v>132</v>
      </c>
      <c r="P6" s="36"/>
      <c r="Q6" s="36"/>
      <c r="S6" s="152"/>
    </row>
    <row r="7" spans="1:24" ht="15" customHeight="1">
      <c r="A7" s="521" t="s">
        <v>92</v>
      </c>
      <c r="B7" s="521"/>
      <c r="C7" s="757">
        <f>'In 2'!C7</f>
        <v>0</v>
      </c>
      <c r="D7" s="757"/>
      <c r="E7" s="757"/>
      <c r="F7" s="757"/>
      <c r="G7" s="757"/>
      <c r="H7" s="757"/>
      <c r="I7" s="85" t="s">
        <v>93</v>
      </c>
      <c r="J7" s="85"/>
      <c r="K7" s="86" t="s">
        <v>341</v>
      </c>
      <c r="P7" s="36"/>
      <c r="Q7" s="36"/>
      <c r="S7" s="152"/>
    </row>
    <row r="8" spans="1:24" ht="20.399999999999999" customHeight="1">
      <c r="A8" s="521" t="s">
        <v>94</v>
      </c>
      <c r="B8" s="521"/>
      <c r="C8" s="266">
        <f>'In 2'!C8</f>
        <v>0</v>
      </c>
      <c r="D8" s="266"/>
      <c r="E8" s="266"/>
      <c r="F8" s="266"/>
      <c r="G8" s="266"/>
      <c r="H8" s="266"/>
      <c r="I8" s="85" t="s">
        <v>95</v>
      </c>
      <c r="J8" s="85"/>
      <c r="K8" s="86" t="s">
        <v>341</v>
      </c>
      <c r="P8" s="36"/>
      <c r="Q8" s="36"/>
      <c r="S8" s="152"/>
    </row>
    <row r="9" spans="1:24" ht="15" customHeight="1" thickBot="1">
      <c r="A9" s="36"/>
      <c r="B9" s="36"/>
      <c r="I9" s="36"/>
      <c r="K9" s="36"/>
      <c r="P9" s="36"/>
      <c r="Q9" s="36"/>
      <c r="S9" s="152"/>
    </row>
    <row r="10" spans="1:24" ht="19.05" customHeight="1">
      <c r="A10" s="444"/>
      <c r="B10" s="445"/>
      <c r="C10" s="385" t="s">
        <v>96</v>
      </c>
      <c r="D10" s="385"/>
      <c r="E10" s="385"/>
      <c r="F10" s="385"/>
      <c r="G10" s="385"/>
      <c r="H10" s="385" t="s">
        <v>97</v>
      </c>
      <c r="I10" s="385"/>
      <c r="J10" s="385"/>
      <c r="K10" s="385"/>
      <c r="L10" s="385"/>
      <c r="M10" s="305"/>
      <c r="P10" s="36"/>
      <c r="Q10" s="36"/>
      <c r="S10" s="152"/>
    </row>
    <row r="11" spans="1:24" ht="19.05" customHeight="1">
      <c r="A11" s="579" t="s">
        <v>98</v>
      </c>
      <c r="B11" s="331"/>
      <c r="C11" s="366" t="s">
        <v>313</v>
      </c>
      <c r="D11" s="366"/>
      <c r="E11" s="366"/>
      <c r="F11" s="366"/>
      <c r="G11" s="366"/>
      <c r="H11" s="366" t="s">
        <v>313</v>
      </c>
      <c r="I11" s="366"/>
      <c r="J11" s="366"/>
      <c r="K11" s="366"/>
      <c r="L11" s="366"/>
      <c r="M11" s="544"/>
      <c r="P11" s="36"/>
      <c r="Q11" s="36"/>
      <c r="S11" s="152"/>
    </row>
    <row r="12" spans="1:24" ht="19.05" customHeight="1">
      <c r="A12" s="579" t="s">
        <v>99</v>
      </c>
      <c r="B12" s="331"/>
      <c r="C12" s="366" t="s">
        <v>100</v>
      </c>
      <c r="D12" s="366"/>
      <c r="E12" s="366"/>
      <c r="F12" s="366"/>
      <c r="G12" s="366"/>
      <c r="H12" s="366" t="s">
        <v>314</v>
      </c>
      <c r="I12" s="366"/>
      <c r="J12" s="366"/>
      <c r="K12" s="366"/>
      <c r="L12" s="366"/>
      <c r="M12" s="544"/>
      <c r="P12" s="36"/>
      <c r="Q12" s="36"/>
      <c r="S12" s="152"/>
    </row>
    <row r="13" spans="1:24" ht="19.05" customHeight="1">
      <c r="A13" s="580" t="s">
        <v>101</v>
      </c>
      <c r="B13" s="333"/>
      <c r="C13" s="563"/>
      <c r="D13" s="563"/>
      <c r="E13" s="563"/>
      <c r="F13" s="563"/>
      <c r="G13" s="563"/>
      <c r="H13" s="563"/>
      <c r="I13" s="563"/>
      <c r="J13" s="563"/>
      <c r="K13" s="563"/>
      <c r="L13" s="563"/>
      <c r="M13" s="306"/>
      <c r="P13" s="36"/>
      <c r="Q13" s="36"/>
      <c r="S13" s="152"/>
    </row>
    <row r="14" spans="1:24">
      <c r="P14" s="36"/>
      <c r="Q14" s="36"/>
      <c r="S14" s="152"/>
    </row>
    <row r="15" spans="1:24" ht="24" customHeight="1">
      <c r="A15" s="575" t="s">
        <v>191</v>
      </c>
      <c r="B15" s="387"/>
      <c r="C15" s="387"/>
      <c r="D15" s="387"/>
      <c r="E15" s="387"/>
      <c r="F15" s="387"/>
      <c r="G15" s="387"/>
      <c r="H15" s="388"/>
      <c r="J15" s="384" t="s">
        <v>142</v>
      </c>
      <c r="K15" s="385"/>
      <c r="L15" s="385"/>
      <c r="M15" s="305"/>
      <c r="P15" s="36"/>
      <c r="Q15" s="36"/>
      <c r="S15" s="152"/>
    </row>
    <row r="16" spans="1:24" ht="44.4" customHeight="1">
      <c r="A16" s="87" t="s">
        <v>143</v>
      </c>
      <c r="B16" s="88"/>
      <c r="C16" s="776">
        <f>Tráng!M9</f>
        <v>0</v>
      </c>
      <c r="D16" s="777"/>
      <c r="E16" s="754" t="s">
        <v>144</v>
      </c>
      <c r="F16" s="754"/>
      <c r="G16" s="353">
        <f>Tráng!M9</f>
        <v>0</v>
      </c>
      <c r="H16" s="778"/>
      <c r="J16" s="541" t="s">
        <v>105</v>
      </c>
      <c r="K16" s="542"/>
      <c r="L16" s="542" t="s">
        <v>106</v>
      </c>
      <c r="M16" s="543"/>
      <c r="P16" s="33"/>
      <c r="Q16" s="33"/>
      <c r="S16" s="152"/>
    </row>
    <row r="17" spans="1:19" ht="18" customHeight="1">
      <c r="A17" s="89" t="s">
        <v>32</v>
      </c>
      <c r="B17" s="398" t="s">
        <v>33</v>
      </c>
      <c r="C17" s="398"/>
      <c r="D17" s="117" t="s">
        <v>34</v>
      </c>
      <c r="E17" s="90" t="s">
        <v>145</v>
      </c>
      <c r="F17" s="91" t="s">
        <v>6</v>
      </c>
      <c r="G17" s="91" t="s">
        <v>146</v>
      </c>
      <c r="H17" s="92" t="s">
        <v>147</v>
      </c>
      <c r="J17" s="372"/>
      <c r="K17" s="373"/>
      <c r="M17" s="93"/>
      <c r="P17" s="36"/>
      <c r="Q17" s="36"/>
      <c r="R17" s="24"/>
      <c r="S17" s="58"/>
    </row>
    <row r="18" spans="1:19" ht="18" customHeight="1">
      <c r="A18" s="54">
        <v>1</v>
      </c>
      <c r="B18" s="398"/>
      <c r="C18" s="398"/>
      <c r="D18" s="52"/>
      <c r="E18" s="94"/>
      <c r="F18" s="95"/>
      <c r="G18" s="95"/>
      <c r="H18" s="96"/>
      <c r="J18" s="539"/>
      <c r="K18" s="540"/>
      <c r="L18" s="97"/>
      <c r="M18" s="98"/>
      <c r="P18" s="36"/>
      <c r="Q18" s="33"/>
      <c r="R18" s="24"/>
      <c r="S18" s="58"/>
    </row>
    <row r="19" spans="1:19" ht="18" customHeight="1">
      <c r="A19" s="54">
        <v>2</v>
      </c>
      <c r="B19" s="398"/>
      <c r="C19" s="398"/>
      <c r="D19" s="52"/>
      <c r="E19" s="94"/>
      <c r="F19" s="95"/>
      <c r="G19" s="95"/>
      <c r="H19" s="96"/>
      <c r="P19" s="36"/>
      <c r="Q19" s="33"/>
      <c r="R19" s="24"/>
      <c r="S19" s="58"/>
    </row>
    <row r="20" spans="1:19" ht="18" customHeight="1">
      <c r="A20" s="54">
        <v>3</v>
      </c>
      <c r="B20" s="398"/>
      <c r="C20" s="398"/>
      <c r="D20" s="52"/>
      <c r="E20" s="94"/>
      <c r="F20" s="29"/>
      <c r="G20" s="95"/>
      <c r="H20" s="96"/>
      <c r="J20" s="384" t="s">
        <v>149</v>
      </c>
      <c r="K20" s="385"/>
      <c r="L20" s="385"/>
      <c r="M20" s="305"/>
      <c r="P20" s="36"/>
      <c r="Q20" s="36"/>
      <c r="S20" s="152"/>
    </row>
    <row r="21" spans="1:19" ht="18" customHeight="1">
      <c r="A21" s="54">
        <v>4</v>
      </c>
      <c r="B21" s="398"/>
      <c r="C21" s="398"/>
      <c r="D21" s="52"/>
      <c r="E21" s="94"/>
      <c r="F21" s="99"/>
      <c r="G21" s="95"/>
      <c r="H21" s="30"/>
      <c r="J21" s="541" t="s">
        <v>105</v>
      </c>
      <c r="K21" s="542"/>
      <c r="L21" s="542" t="s">
        <v>106</v>
      </c>
      <c r="M21" s="543"/>
      <c r="P21" s="36"/>
      <c r="Q21" s="36"/>
      <c r="S21" s="152"/>
    </row>
    <row r="22" spans="1:19" ht="18" customHeight="1">
      <c r="A22" s="54">
        <v>5</v>
      </c>
      <c r="B22" s="398"/>
      <c r="C22" s="398"/>
      <c r="D22" s="52"/>
      <c r="E22" s="94"/>
      <c r="F22" s="99"/>
      <c r="G22" s="95"/>
      <c r="H22" s="30"/>
      <c r="J22" s="372"/>
      <c r="K22" s="373"/>
      <c r="M22" s="93"/>
      <c r="P22" s="36"/>
      <c r="Q22" s="36"/>
      <c r="S22" s="152"/>
    </row>
    <row r="23" spans="1:19" ht="18" customHeight="1" thickBot="1">
      <c r="A23" s="70">
        <v>6</v>
      </c>
      <c r="B23" s="401"/>
      <c r="C23" s="401"/>
      <c r="D23" s="122"/>
      <c r="E23" s="101"/>
      <c r="F23" s="102"/>
      <c r="G23" s="103"/>
      <c r="H23" s="32"/>
      <c r="J23" s="539"/>
      <c r="K23" s="540"/>
      <c r="L23" s="97"/>
      <c r="M23" s="98"/>
      <c r="P23" s="36"/>
      <c r="Q23" s="36"/>
      <c r="S23" s="152"/>
    </row>
    <row r="24" spans="1:19" ht="18" customHeight="1">
      <c r="A24" s="34"/>
      <c r="B24" s="170"/>
      <c r="C24" s="170"/>
      <c r="D24" s="36"/>
      <c r="E24" s="35"/>
      <c r="F24" s="104"/>
      <c r="J24" s="384" t="s">
        <v>330</v>
      </c>
      <c r="K24" s="385"/>
      <c r="L24" s="385"/>
      <c r="M24" s="305"/>
      <c r="P24" s="36"/>
      <c r="Q24" s="36"/>
      <c r="S24" s="152"/>
    </row>
    <row r="25" spans="1:19" ht="18" customHeight="1">
      <c r="A25" s="34"/>
      <c r="B25" s="170"/>
      <c r="C25" s="170"/>
      <c r="D25" s="36"/>
      <c r="E25" s="35"/>
      <c r="F25" s="104"/>
      <c r="J25" s="541" t="s">
        <v>105</v>
      </c>
      <c r="K25" s="542"/>
      <c r="L25" s="542" t="s">
        <v>106</v>
      </c>
      <c r="M25" s="543"/>
      <c r="P25" s="36"/>
      <c r="Q25" s="36"/>
      <c r="S25" s="152"/>
    </row>
    <row r="26" spans="1:19" ht="18" customHeight="1">
      <c r="A26" s="34"/>
      <c r="B26" s="170"/>
      <c r="C26" s="170"/>
      <c r="D26" s="36"/>
      <c r="E26" s="35"/>
      <c r="F26" s="104"/>
      <c r="J26" s="372"/>
      <c r="K26" s="373"/>
      <c r="M26" s="93"/>
      <c r="P26" s="36"/>
      <c r="Q26" s="36"/>
      <c r="S26" s="152"/>
    </row>
    <row r="27" spans="1:19" ht="18" customHeight="1" thickBot="1">
      <c r="B27" s="25"/>
      <c r="C27" s="36"/>
      <c r="D27" s="395"/>
      <c r="E27" s="395"/>
      <c r="F27" s="104"/>
      <c r="G27" s="423"/>
      <c r="H27" s="423"/>
      <c r="J27" s="539"/>
      <c r="K27" s="540"/>
      <c r="L27" s="97"/>
      <c r="M27" s="98"/>
      <c r="P27" s="36"/>
      <c r="Q27" s="36"/>
      <c r="S27" s="152"/>
    </row>
    <row r="28" spans="1:19" ht="18" customHeight="1">
      <c r="A28" s="384" t="s">
        <v>32</v>
      </c>
      <c r="B28" s="385" t="s">
        <v>152</v>
      </c>
      <c r="C28" s="385"/>
      <c r="D28" s="320" t="s">
        <v>153</v>
      </c>
      <c r="E28" s="492" t="s">
        <v>154</v>
      </c>
      <c r="F28" s="492"/>
      <c r="G28" s="385" t="s">
        <v>35</v>
      </c>
      <c r="H28" s="305" t="s">
        <v>106</v>
      </c>
      <c r="J28" s="105" t="s">
        <v>32</v>
      </c>
      <c r="K28" s="106" t="s">
        <v>114</v>
      </c>
      <c r="L28" s="107" t="s">
        <v>150</v>
      </c>
      <c r="M28" s="108" t="s">
        <v>151</v>
      </c>
      <c r="N28" s="109"/>
      <c r="P28" s="36"/>
      <c r="Q28" s="36"/>
      <c r="S28" s="152"/>
    </row>
    <row r="29" spans="1:19" ht="18" customHeight="1">
      <c r="A29" s="541"/>
      <c r="B29" s="542"/>
      <c r="C29" s="542"/>
      <c r="D29" s="398"/>
      <c r="E29" s="90" t="s">
        <v>159</v>
      </c>
      <c r="F29" s="90" t="s">
        <v>159</v>
      </c>
      <c r="G29" s="542"/>
      <c r="H29" s="543"/>
      <c r="J29" s="54">
        <v>1</v>
      </c>
      <c r="K29" s="29"/>
      <c r="L29" s="29"/>
      <c r="M29" s="30"/>
      <c r="N29" s="109"/>
      <c r="P29" s="36"/>
      <c r="Q29" s="36"/>
      <c r="S29" s="152"/>
    </row>
    <row r="30" spans="1:19" ht="19.95" customHeight="1">
      <c r="A30" s="54">
        <v>1</v>
      </c>
      <c r="B30" s="716" t="s">
        <v>192</v>
      </c>
      <c r="C30" s="447"/>
      <c r="D30" s="46" t="s">
        <v>193</v>
      </c>
      <c r="E30" s="61"/>
      <c r="F30" s="140"/>
      <c r="G30" s="29" t="s">
        <v>194</v>
      </c>
      <c r="H30" s="30"/>
      <c r="J30" s="54">
        <v>2</v>
      </c>
      <c r="K30" s="29"/>
      <c r="L30" s="29"/>
      <c r="M30" s="30"/>
      <c r="N30" s="110"/>
      <c r="P30" s="36"/>
      <c r="Q30" s="36"/>
      <c r="S30" s="152"/>
    </row>
    <row r="31" spans="1:19" ht="19.95" customHeight="1">
      <c r="A31" s="54">
        <v>2</v>
      </c>
      <c r="B31" s="716" t="s">
        <v>195</v>
      </c>
      <c r="C31" s="447"/>
      <c r="D31" s="46" t="s">
        <v>196</v>
      </c>
      <c r="E31" s="61"/>
      <c r="F31" s="140"/>
      <c r="G31" s="29" t="s">
        <v>197</v>
      </c>
      <c r="H31" s="30"/>
      <c r="J31" s="54">
        <v>3</v>
      </c>
      <c r="K31" s="29"/>
      <c r="L31" s="29"/>
      <c r="M31" s="30"/>
      <c r="N31" s="110"/>
      <c r="P31" s="36"/>
      <c r="Q31" s="36"/>
      <c r="S31" s="152"/>
    </row>
    <row r="32" spans="1:19" ht="19.95" customHeight="1">
      <c r="A32" s="54">
        <v>3</v>
      </c>
      <c r="B32" s="716" t="s">
        <v>198</v>
      </c>
      <c r="C32" s="447"/>
      <c r="D32" s="46" t="s">
        <v>199</v>
      </c>
      <c r="E32" s="61"/>
      <c r="F32" s="140"/>
      <c r="G32" s="29" t="s">
        <v>170</v>
      </c>
      <c r="H32" s="30"/>
      <c r="J32" s="54">
        <v>4</v>
      </c>
      <c r="K32" s="29"/>
      <c r="L32" s="29"/>
      <c r="M32" s="30"/>
      <c r="N32" s="110"/>
      <c r="P32" s="36"/>
      <c r="Q32" s="36"/>
      <c r="S32" s="152"/>
    </row>
    <row r="33" spans="1:19" ht="19.95" customHeight="1">
      <c r="A33" s="54">
        <v>4</v>
      </c>
      <c r="B33" s="716" t="s">
        <v>200</v>
      </c>
      <c r="C33" s="447"/>
      <c r="D33" s="46" t="s">
        <v>201</v>
      </c>
      <c r="E33" s="61"/>
      <c r="F33" s="141"/>
      <c r="G33" s="29" t="s">
        <v>108</v>
      </c>
      <c r="H33" s="30"/>
      <c r="J33" s="70">
        <v>5</v>
      </c>
      <c r="K33" s="31"/>
      <c r="L33" s="31"/>
      <c r="M33" s="69"/>
      <c r="N33" s="110"/>
      <c r="P33" s="36"/>
      <c r="Q33" s="36"/>
      <c r="S33" s="152"/>
    </row>
    <row r="34" spans="1:19" ht="19.95" customHeight="1">
      <c r="A34" s="54">
        <v>5</v>
      </c>
      <c r="B34" s="716"/>
      <c r="C34" s="447"/>
      <c r="D34" s="61"/>
      <c r="E34" s="61"/>
      <c r="F34" s="141"/>
      <c r="G34" s="29"/>
      <c r="H34" s="30"/>
      <c r="J34" s="83"/>
      <c r="K34" s="27"/>
      <c r="L34" s="83"/>
      <c r="M34" s="83"/>
      <c r="N34" s="109"/>
      <c r="P34" s="36"/>
      <c r="Q34" s="36"/>
      <c r="S34" s="152"/>
    </row>
    <row r="35" spans="1:19" ht="19.95" customHeight="1">
      <c r="A35" s="54">
        <v>6</v>
      </c>
      <c r="B35" s="716"/>
      <c r="C35" s="447"/>
      <c r="D35" s="61"/>
      <c r="E35" s="61"/>
      <c r="F35" s="140"/>
      <c r="G35" s="29"/>
      <c r="H35" s="30"/>
      <c r="J35" s="384" t="s">
        <v>155</v>
      </c>
      <c r="K35" s="320" t="s">
        <v>156</v>
      </c>
      <c r="L35" s="385" t="s">
        <v>157</v>
      </c>
      <c r="M35" s="305" t="s">
        <v>158</v>
      </c>
      <c r="N35" s="110"/>
      <c r="P35" s="36"/>
      <c r="Q35" s="36"/>
      <c r="S35" s="152"/>
    </row>
    <row r="36" spans="1:19" ht="19.95" customHeight="1">
      <c r="A36" s="54">
        <v>7</v>
      </c>
      <c r="B36" s="716"/>
      <c r="C36" s="447"/>
      <c r="D36" s="61"/>
      <c r="E36" s="61"/>
      <c r="F36" s="140"/>
      <c r="G36" s="29"/>
      <c r="H36" s="30"/>
      <c r="J36" s="541"/>
      <c r="K36" s="398"/>
      <c r="L36" s="542"/>
      <c r="M36" s="543"/>
      <c r="N36" s="110"/>
      <c r="P36" s="36"/>
      <c r="Q36" s="36"/>
      <c r="S36" s="152"/>
    </row>
    <row r="37" spans="1:19" ht="19.95" customHeight="1">
      <c r="A37" s="54">
        <v>8</v>
      </c>
      <c r="B37" s="716"/>
      <c r="C37" s="447"/>
      <c r="D37" s="61"/>
      <c r="E37" s="61"/>
      <c r="F37" s="140"/>
      <c r="G37" s="29"/>
      <c r="H37" s="30"/>
      <c r="J37" s="365"/>
      <c r="K37" s="366"/>
      <c r="L37" s="366"/>
      <c r="M37" s="544"/>
      <c r="N37" s="110"/>
      <c r="P37" s="34"/>
      <c r="Q37" s="34"/>
    </row>
    <row r="38" spans="1:19" ht="19.95" customHeight="1">
      <c r="A38" s="54">
        <v>9</v>
      </c>
      <c r="B38" s="716"/>
      <c r="C38" s="447"/>
      <c r="D38" s="61"/>
      <c r="E38" s="61"/>
      <c r="F38" s="140"/>
      <c r="G38" s="29"/>
      <c r="H38" s="30"/>
      <c r="J38" s="365"/>
      <c r="K38" s="366"/>
      <c r="L38" s="366"/>
      <c r="M38" s="544"/>
      <c r="N38" s="110"/>
      <c r="P38" s="34"/>
      <c r="Q38" s="34"/>
    </row>
    <row r="39" spans="1:19" ht="19.95" customHeight="1">
      <c r="A39" s="54">
        <v>10</v>
      </c>
      <c r="B39" s="716"/>
      <c r="C39" s="447"/>
      <c r="D39" s="61"/>
      <c r="E39" s="61"/>
      <c r="F39" s="140"/>
      <c r="G39" s="29"/>
      <c r="H39" s="30"/>
      <c r="J39" s="365"/>
      <c r="K39" s="366"/>
      <c r="L39" s="366"/>
      <c r="M39" s="544"/>
      <c r="N39" s="110"/>
      <c r="P39" s="34"/>
      <c r="Q39" s="34"/>
    </row>
    <row r="40" spans="1:19" ht="19.95" customHeight="1">
      <c r="A40" s="70">
        <v>11</v>
      </c>
      <c r="B40" s="751"/>
      <c r="C40" s="448"/>
      <c r="D40" s="100"/>
      <c r="E40" s="100"/>
      <c r="F40" s="124"/>
      <c r="G40" s="31"/>
      <c r="H40" s="69"/>
      <c r="J40" s="365"/>
      <c r="K40" s="366"/>
      <c r="L40" s="366"/>
      <c r="M40" s="544"/>
      <c r="N40" s="110"/>
      <c r="P40" s="34"/>
      <c r="Q40" s="34"/>
    </row>
    <row r="41" spans="1:19" ht="19.95" customHeight="1">
      <c r="A41" s="34"/>
      <c r="B41" s="376"/>
      <c r="C41" s="376"/>
      <c r="D41" s="25"/>
      <c r="E41" s="25"/>
      <c r="F41" s="143"/>
      <c r="G41" s="34"/>
      <c r="H41" s="34"/>
      <c r="J41" s="365"/>
      <c r="K41" s="366"/>
      <c r="L41" s="366"/>
      <c r="M41" s="544"/>
      <c r="N41" s="110"/>
      <c r="P41" s="34"/>
      <c r="Q41" s="34"/>
    </row>
    <row r="42" spans="1:19" ht="19.95" customHeight="1">
      <c r="A42" s="384" t="s">
        <v>32</v>
      </c>
      <c r="B42" s="385" t="s">
        <v>181</v>
      </c>
      <c r="C42" s="385"/>
      <c r="D42" s="320" t="s">
        <v>153</v>
      </c>
      <c r="E42" s="492" t="s">
        <v>154</v>
      </c>
      <c r="F42" s="492"/>
      <c r="G42" s="385" t="s">
        <v>35</v>
      </c>
      <c r="H42" s="305" t="s">
        <v>106</v>
      </c>
      <c r="J42" s="365"/>
      <c r="K42" s="366"/>
      <c r="L42" s="366"/>
      <c r="M42" s="544"/>
      <c r="N42" s="110"/>
      <c r="P42" s="34"/>
      <c r="Q42" s="34"/>
    </row>
    <row r="43" spans="1:19" ht="19.95" customHeight="1">
      <c r="A43" s="541"/>
      <c r="B43" s="542"/>
      <c r="C43" s="542"/>
      <c r="D43" s="398"/>
      <c r="E43" s="90" t="s">
        <v>159</v>
      </c>
      <c r="F43" s="90" t="s">
        <v>159</v>
      </c>
      <c r="G43" s="542"/>
      <c r="H43" s="543"/>
      <c r="J43" s="541"/>
      <c r="K43" s="542"/>
      <c r="L43" s="542"/>
      <c r="M43" s="543"/>
      <c r="N43" s="110"/>
      <c r="P43" s="34"/>
      <c r="Q43" s="34"/>
    </row>
    <row r="44" spans="1:19" ht="19.95" customHeight="1">
      <c r="A44" s="54">
        <v>1</v>
      </c>
      <c r="B44" s="716" t="s">
        <v>202</v>
      </c>
      <c r="C44" s="447"/>
      <c r="D44" s="46">
        <v>8000</v>
      </c>
      <c r="E44" s="61"/>
      <c r="F44" s="140"/>
      <c r="G44" s="29" t="s">
        <v>129</v>
      </c>
      <c r="H44" s="30"/>
      <c r="J44" s="541"/>
      <c r="K44" s="542"/>
      <c r="L44" s="542"/>
      <c r="M44" s="543"/>
      <c r="N44" s="110"/>
      <c r="P44" s="34"/>
      <c r="Q44" s="34"/>
    </row>
    <row r="45" spans="1:19" ht="19.95" customHeight="1">
      <c r="A45" s="54">
        <v>2</v>
      </c>
      <c r="B45" s="716" t="s">
        <v>203</v>
      </c>
      <c r="C45" s="447"/>
      <c r="D45" s="46">
        <v>8000</v>
      </c>
      <c r="E45" s="61"/>
      <c r="F45" s="141"/>
      <c r="G45" s="29" t="s">
        <v>129</v>
      </c>
      <c r="H45" s="30"/>
      <c r="J45" s="541"/>
      <c r="K45" s="542"/>
      <c r="L45" s="542"/>
      <c r="M45" s="543"/>
      <c r="N45" s="110"/>
      <c r="P45" s="34"/>
      <c r="Q45" s="34"/>
    </row>
    <row r="46" spans="1:19" ht="19.95" customHeight="1" thickBot="1">
      <c r="A46" s="54">
        <v>3</v>
      </c>
      <c r="B46" s="716" t="s">
        <v>204</v>
      </c>
      <c r="C46" s="447"/>
      <c r="D46" s="34">
        <f>(In!B12-0.02)*1000</f>
        <v>-20</v>
      </c>
      <c r="E46" s="61"/>
      <c r="F46" s="141"/>
      <c r="G46" s="29" t="s">
        <v>108</v>
      </c>
      <c r="H46" s="30"/>
      <c r="J46" s="750"/>
      <c r="K46" s="563"/>
      <c r="L46" s="563"/>
      <c r="M46" s="306"/>
      <c r="N46" s="110"/>
      <c r="O46" s="153"/>
      <c r="P46" s="34"/>
      <c r="Q46" s="34"/>
    </row>
    <row r="47" spans="1:19" ht="19.95" customHeight="1" thickBot="1">
      <c r="A47" s="734">
        <v>4</v>
      </c>
      <c r="B47" s="739" t="s">
        <v>187</v>
      </c>
      <c r="C47" s="740"/>
      <c r="D47" s="771" t="s">
        <v>205</v>
      </c>
      <c r="E47" s="771"/>
      <c r="F47" s="773"/>
      <c r="G47" s="332"/>
      <c r="H47" s="309"/>
      <c r="J47" s="83"/>
      <c r="K47" s="83"/>
      <c r="L47" s="83"/>
      <c r="M47" s="83"/>
      <c r="N47" s="110"/>
      <c r="P47" s="34"/>
      <c r="Q47" s="34"/>
    </row>
    <row r="48" spans="1:19" ht="19.95" customHeight="1">
      <c r="A48" s="732"/>
      <c r="B48" s="741"/>
      <c r="C48" s="452"/>
      <c r="D48" s="772"/>
      <c r="E48" s="772"/>
      <c r="F48" s="773"/>
      <c r="G48" s="775"/>
      <c r="H48" s="450"/>
      <c r="J48" s="384" t="s">
        <v>116</v>
      </c>
      <c r="K48" s="385"/>
      <c r="L48" s="385"/>
      <c r="M48" s="305"/>
      <c r="N48" s="110"/>
      <c r="P48" s="34"/>
      <c r="Q48" s="34"/>
    </row>
    <row r="49" spans="1:17" ht="19.95" hidden="1" customHeight="1">
      <c r="A49" s="732"/>
      <c r="B49" s="741"/>
      <c r="C49" s="452"/>
      <c r="D49" s="772"/>
      <c r="E49" s="772"/>
      <c r="F49" s="774"/>
      <c r="G49" s="775"/>
      <c r="H49" s="450"/>
      <c r="J49" s="503"/>
      <c r="K49" s="463"/>
      <c r="L49" s="463"/>
      <c r="M49" s="533"/>
      <c r="N49" s="110"/>
      <c r="P49" s="34"/>
      <c r="Q49" s="34"/>
    </row>
    <row r="50" spans="1:17" ht="19.95" customHeight="1">
      <c r="A50" s="54">
        <v>5</v>
      </c>
      <c r="B50" s="716"/>
      <c r="C50" s="447"/>
      <c r="D50" s="61"/>
      <c r="E50" s="61"/>
      <c r="F50" s="111"/>
      <c r="G50" s="45"/>
      <c r="H50" s="112"/>
      <c r="J50" s="744"/>
      <c r="K50" s="745"/>
      <c r="L50" s="745"/>
      <c r="M50" s="746"/>
      <c r="N50" s="110"/>
      <c r="P50" s="34"/>
      <c r="Q50" s="34"/>
    </row>
    <row r="51" spans="1:17" ht="19.95" customHeight="1">
      <c r="A51" s="54">
        <v>6</v>
      </c>
      <c r="B51" s="716"/>
      <c r="C51" s="447"/>
      <c r="D51" s="61"/>
      <c r="E51" s="61"/>
      <c r="F51" s="111"/>
      <c r="G51" s="45"/>
      <c r="H51" s="112"/>
      <c r="J51" s="744"/>
      <c r="K51" s="745"/>
      <c r="L51" s="745"/>
      <c r="M51" s="746"/>
      <c r="N51" s="110"/>
      <c r="P51" s="34"/>
      <c r="Q51" s="34"/>
    </row>
    <row r="52" spans="1:17" ht="19.95" customHeight="1">
      <c r="A52" s="54">
        <v>7</v>
      </c>
      <c r="B52" s="716"/>
      <c r="C52" s="447"/>
      <c r="D52" s="61"/>
      <c r="E52" s="61"/>
      <c r="F52" s="140"/>
      <c r="G52" s="29"/>
      <c r="H52" s="30"/>
      <c r="J52" s="744"/>
      <c r="K52" s="745"/>
      <c r="L52" s="745"/>
      <c r="M52" s="746"/>
      <c r="N52" s="110"/>
      <c r="P52" s="34"/>
      <c r="Q52" s="34"/>
    </row>
    <row r="53" spans="1:17" ht="19.95" customHeight="1">
      <c r="A53" s="54">
        <v>8</v>
      </c>
      <c r="B53" s="716"/>
      <c r="C53" s="447"/>
      <c r="D53" s="61"/>
      <c r="E53" s="61"/>
      <c r="F53" s="140"/>
      <c r="G53" s="29"/>
      <c r="H53" s="30"/>
      <c r="J53" s="744"/>
      <c r="K53" s="745"/>
      <c r="L53" s="745"/>
      <c r="M53" s="746"/>
      <c r="N53" s="110"/>
      <c r="P53" s="34"/>
      <c r="Q53" s="34"/>
    </row>
    <row r="54" spans="1:17" ht="19.95" customHeight="1">
      <c r="A54" s="70">
        <v>9</v>
      </c>
      <c r="B54" s="333"/>
      <c r="C54" s="333"/>
      <c r="D54" s="67"/>
      <c r="E54" s="67"/>
      <c r="F54" s="67"/>
      <c r="G54" s="67"/>
      <c r="H54" s="154"/>
      <c r="J54" s="747"/>
      <c r="K54" s="748"/>
      <c r="L54" s="748"/>
      <c r="M54" s="749"/>
      <c r="N54" s="110"/>
      <c r="P54" s="34"/>
      <c r="Q54" s="34"/>
    </row>
    <row r="55" spans="1:17" ht="18" customHeight="1">
      <c r="B55" s="115"/>
      <c r="C55" s="116"/>
      <c r="D55" s="116"/>
      <c r="E55" s="116"/>
      <c r="F55" s="116"/>
      <c r="G55" s="116"/>
      <c r="H55" s="116"/>
      <c r="N55" s="110"/>
      <c r="P55" s="34"/>
      <c r="Q55" s="34"/>
    </row>
    <row r="56" spans="1:17" ht="18" customHeight="1">
      <c r="A56" s="384" t="s">
        <v>206</v>
      </c>
      <c r="B56" s="385"/>
      <c r="C56" s="385"/>
      <c r="D56" s="385"/>
      <c r="E56" s="385"/>
      <c r="F56" s="385"/>
      <c r="G56" s="385"/>
      <c r="H56" s="305"/>
      <c r="I56" s="34"/>
      <c r="J56" s="318" t="s">
        <v>327</v>
      </c>
      <c r="K56" s="320"/>
      <c r="L56" s="320" t="s">
        <v>328</v>
      </c>
      <c r="M56" s="396"/>
    </row>
    <row r="57" spans="1:17" ht="18" customHeight="1">
      <c r="A57" s="541" t="s">
        <v>126</v>
      </c>
      <c r="B57" s="542"/>
      <c r="C57" s="542"/>
      <c r="D57" s="542"/>
      <c r="E57" s="542" t="s">
        <v>190</v>
      </c>
      <c r="F57" s="542"/>
      <c r="G57" s="542"/>
      <c r="H57" s="543"/>
      <c r="J57" s="397"/>
      <c r="K57" s="398"/>
      <c r="L57" s="398"/>
      <c r="M57" s="399"/>
    </row>
    <row r="58" spans="1:17" ht="18" customHeight="1">
      <c r="A58" s="365"/>
      <c r="B58" s="366"/>
      <c r="C58" s="366"/>
      <c r="D58" s="366"/>
      <c r="E58" s="366"/>
      <c r="F58" s="366"/>
      <c r="G58" s="366"/>
      <c r="H58" s="544"/>
      <c r="J58" s="397"/>
      <c r="K58" s="398"/>
      <c r="L58" s="398"/>
      <c r="M58" s="399"/>
    </row>
    <row r="59" spans="1:17" ht="18" customHeight="1">
      <c r="A59" s="365"/>
      <c r="B59" s="366"/>
      <c r="C59" s="366"/>
      <c r="D59" s="366"/>
      <c r="E59" s="366"/>
      <c r="F59" s="366"/>
      <c r="G59" s="366"/>
      <c r="H59" s="544"/>
      <c r="J59" s="397"/>
      <c r="K59" s="398"/>
      <c r="L59" s="398"/>
      <c r="M59" s="399"/>
    </row>
    <row r="60" spans="1:17" ht="18" customHeight="1">
      <c r="A60" s="349"/>
      <c r="B60" s="350"/>
      <c r="C60" s="350"/>
      <c r="D60" s="350"/>
      <c r="E60" s="350"/>
      <c r="F60" s="350"/>
      <c r="G60" s="350"/>
      <c r="H60" s="545"/>
      <c r="J60" s="400"/>
      <c r="K60" s="401"/>
      <c r="L60" s="401"/>
      <c r="M60" s="402"/>
    </row>
    <row r="63" spans="1:17">
      <c r="D63" s="423"/>
      <c r="E63" s="423"/>
      <c r="F63" s="423"/>
      <c r="G63" s="423"/>
    </row>
    <row r="64" spans="1:17">
      <c r="B64" s="376"/>
      <c r="C64" s="376"/>
      <c r="D64" s="467"/>
      <c r="E64" s="467"/>
      <c r="F64" s="467"/>
      <c r="G64" s="467"/>
    </row>
    <row r="65" spans="2:7">
      <c r="B65" s="376"/>
      <c r="C65" s="376"/>
      <c r="D65" s="467"/>
      <c r="E65" s="467"/>
      <c r="F65" s="470"/>
      <c r="G65" s="470"/>
    </row>
    <row r="66" spans="2:7">
      <c r="B66" s="376"/>
      <c r="C66" s="376"/>
      <c r="D66" s="467"/>
      <c r="E66" s="467"/>
      <c r="F66" s="468"/>
      <c r="G66" s="468"/>
    </row>
    <row r="67" spans="2:7">
      <c r="B67" s="376"/>
      <c r="C67" s="376"/>
      <c r="D67" s="467"/>
      <c r="E67" s="467"/>
      <c r="F67" s="467"/>
      <c r="G67" s="467"/>
    </row>
    <row r="68" spans="2:7">
      <c r="B68" s="376"/>
      <c r="C68" s="376"/>
      <c r="D68" s="467"/>
      <c r="E68" s="467"/>
      <c r="F68" s="467"/>
      <c r="G68" s="467"/>
    </row>
    <row r="69" spans="2:7">
      <c r="B69" s="376"/>
      <c r="C69" s="376"/>
      <c r="D69" s="467"/>
      <c r="E69" s="467"/>
      <c r="F69" s="468"/>
      <c r="G69" s="468"/>
    </row>
    <row r="70" spans="2:7">
      <c r="B70" s="376"/>
      <c r="C70" s="376"/>
      <c r="D70" s="467"/>
      <c r="E70" s="467"/>
      <c r="F70" s="468"/>
      <c r="G70" s="468"/>
    </row>
    <row r="71" spans="2:7">
      <c r="B71" s="376"/>
      <c r="C71" s="376"/>
      <c r="D71" s="467"/>
      <c r="E71" s="467"/>
      <c r="F71" s="468"/>
      <c r="G71" s="468"/>
    </row>
    <row r="72" spans="2:7">
      <c r="B72" s="376"/>
      <c r="C72" s="376"/>
      <c r="D72" s="467"/>
      <c r="E72" s="467"/>
      <c r="F72" s="469"/>
      <c r="G72" s="469"/>
    </row>
  </sheetData>
  <mergeCells count="157">
    <mergeCell ref="K1:M1"/>
    <mergeCell ref="K2:M2"/>
    <mergeCell ref="K3:M3"/>
    <mergeCell ref="A5:B5"/>
    <mergeCell ref="C5:H5"/>
    <mergeCell ref="A6:B6"/>
    <mergeCell ref="C6:H6"/>
    <mergeCell ref="A7:B7"/>
    <mergeCell ref="C7:H7"/>
    <mergeCell ref="A1:B3"/>
    <mergeCell ref="C1:J3"/>
    <mergeCell ref="A8:B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A13:B13"/>
    <mergeCell ref="C13:G13"/>
    <mergeCell ref="H13:M13"/>
    <mergeCell ref="A15:H15"/>
    <mergeCell ref="J15:M15"/>
    <mergeCell ref="C16:D16"/>
    <mergeCell ref="E16:F16"/>
    <mergeCell ref="G16:H16"/>
    <mergeCell ref="J16:K16"/>
    <mergeCell ref="L16:M16"/>
    <mergeCell ref="B17:C17"/>
    <mergeCell ref="B18:C18"/>
    <mergeCell ref="B19:C19"/>
    <mergeCell ref="B20:C20"/>
    <mergeCell ref="J20:M20"/>
    <mergeCell ref="B21:C21"/>
    <mergeCell ref="J21:K21"/>
    <mergeCell ref="L21:M21"/>
    <mergeCell ref="B22:C22"/>
    <mergeCell ref="J17:K18"/>
    <mergeCell ref="J22:K23"/>
    <mergeCell ref="B23:C23"/>
    <mergeCell ref="D27:E27"/>
    <mergeCell ref="G27:H27"/>
    <mergeCell ref="E28:F28"/>
    <mergeCell ref="B30:C30"/>
    <mergeCell ref="B31:C31"/>
    <mergeCell ref="B32:C32"/>
    <mergeCell ref="B33:C33"/>
    <mergeCell ref="B34:C34"/>
    <mergeCell ref="H28:H29"/>
    <mergeCell ref="B50:C50"/>
    <mergeCell ref="J50:M50"/>
    <mergeCell ref="B51:C51"/>
    <mergeCell ref="J51:M51"/>
    <mergeCell ref="B52:C52"/>
    <mergeCell ref="J52:M52"/>
    <mergeCell ref="B35:C35"/>
    <mergeCell ref="B36:C36"/>
    <mergeCell ref="B37:C37"/>
    <mergeCell ref="B38:C38"/>
    <mergeCell ref="B39:C39"/>
    <mergeCell ref="B40:C40"/>
    <mergeCell ref="B41:C41"/>
    <mergeCell ref="E42:F42"/>
    <mergeCell ref="B44:C44"/>
    <mergeCell ref="H42:H43"/>
    <mergeCell ref="H47:H49"/>
    <mergeCell ref="J35:J36"/>
    <mergeCell ref="J37:J38"/>
    <mergeCell ref="J39:J40"/>
    <mergeCell ref="J41:J42"/>
    <mergeCell ref="J43:J44"/>
    <mergeCell ref="J45:J46"/>
    <mergeCell ref="K35:K36"/>
    <mergeCell ref="B53:C53"/>
    <mergeCell ref="J53:M53"/>
    <mergeCell ref="B54:C54"/>
    <mergeCell ref="J54:M54"/>
    <mergeCell ref="A56:H56"/>
    <mergeCell ref="A57:D57"/>
    <mergeCell ref="E57:H57"/>
    <mergeCell ref="D63:E63"/>
    <mergeCell ref="F63:G63"/>
    <mergeCell ref="J56:K57"/>
    <mergeCell ref="L56:M57"/>
    <mergeCell ref="A58:D60"/>
    <mergeCell ref="E58:H60"/>
    <mergeCell ref="J58:K60"/>
    <mergeCell ref="L58:M60"/>
    <mergeCell ref="B64:C64"/>
    <mergeCell ref="D64:E64"/>
    <mergeCell ref="F64:G64"/>
    <mergeCell ref="B65:C65"/>
    <mergeCell ref="D65:E65"/>
    <mergeCell ref="F65:G65"/>
    <mergeCell ref="B66:C66"/>
    <mergeCell ref="D66:E66"/>
    <mergeCell ref="F66:G66"/>
    <mergeCell ref="B67:C67"/>
    <mergeCell ref="D67:E67"/>
    <mergeCell ref="F67:G67"/>
    <mergeCell ref="B68:C68"/>
    <mergeCell ref="D68:E68"/>
    <mergeCell ref="F68:G68"/>
    <mergeCell ref="B69:C69"/>
    <mergeCell ref="D69:E69"/>
    <mergeCell ref="F69:G69"/>
    <mergeCell ref="B70:C70"/>
    <mergeCell ref="D70:E70"/>
    <mergeCell ref="F70:G70"/>
    <mergeCell ref="B71:C71"/>
    <mergeCell ref="D71:E71"/>
    <mergeCell ref="F71:G71"/>
    <mergeCell ref="B72:C72"/>
    <mergeCell ref="D72:E72"/>
    <mergeCell ref="F72:G72"/>
    <mergeCell ref="A28:A29"/>
    <mergeCell ref="A42:A43"/>
    <mergeCell ref="A47:A49"/>
    <mergeCell ref="D28:D29"/>
    <mergeCell ref="D42:D43"/>
    <mergeCell ref="D47:D49"/>
    <mergeCell ref="E47:E49"/>
    <mergeCell ref="F47:F49"/>
    <mergeCell ref="G28:G29"/>
    <mergeCell ref="G42:G43"/>
    <mergeCell ref="G47:G49"/>
    <mergeCell ref="B28:C29"/>
    <mergeCell ref="B42:C43"/>
    <mergeCell ref="B47:C49"/>
    <mergeCell ref="B45:C45"/>
    <mergeCell ref="B46:C46"/>
    <mergeCell ref="J48:M48"/>
    <mergeCell ref="J49:M49"/>
    <mergeCell ref="L35:L36"/>
    <mergeCell ref="L37:L38"/>
    <mergeCell ref="L39:L40"/>
    <mergeCell ref="L41:L42"/>
    <mergeCell ref="L43:L44"/>
    <mergeCell ref="L45:L46"/>
    <mergeCell ref="M35:M36"/>
    <mergeCell ref="M37:M38"/>
    <mergeCell ref="M39:M40"/>
    <mergeCell ref="M41:M42"/>
    <mergeCell ref="M43:M44"/>
    <mergeCell ref="M45:M46"/>
    <mergeCell ref="J24:M24"/>
    <mergeCell ref="J25:K25"/>
    <mergeCell ref="L25:M25"/>
    <mergeCell ref="J26:K27"/>
    <mergeCell ref="K37:K38"/>
    <mergeCell ref="K39:K40"/>
    <mergeCell ref="K41:K42"/>
    <mergeCell ref="K43:K44"/>
    <mergeCell ref="K45:K46"/>
  </mergeCells>
  <conditionalFormatting sqref="C27">
    <cfRule type="duplicateValues" dxfId="53" priority="1" stopIfTrue="1"/>
    <cfRule type="duplicateValues" dxfId="52" priority="2" stopIfTrue="1"/>
    <cfRule type="duplicateValues" dxfId="51" priority="3" stopIfTrue="1"/>
    <cfRule type="duplicateValues" dxfId="50" priority="4" stopIfTrue="1"/>
    <cfRule type="duplicateValues" dxfId="49" priority="5" stopIfTrue="1"/>
    <cfRule type="duplicateValues" dxfId="48" priority="6" stopIfTrue="1"/>
  </conditionalFormatting>
  <printOptions horizontalCentered="1"/>
  <pageMargins left="0.23622047244094499" right="0.23622047244094499" top="0.39305555555555599" bottom="0.31458333333333299" header="0.31496062992126" footer="0.31496062992126"/>
  <pageSetup paperSize="9" scale="69" orientation="portrait" horizontalDpi="300" verticalDpi="30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00B0F0"/>
    <pageSetUpPr fitToPage="1"/>
  </sheetPr>
  <dimension ref="A1:X71"/>
  <sheetViews>
    <sheetView showGridLines="0" view="pageBreakPreview" topLeftCell="A8" zoomScaleNormal="100" zoomScaleSheetLayoutView="100" zoomScalePageLayoutView="85" workbookViewId="0">
      <selection activeCell="G21" sqref="G21"/>
    </sheetView>
  </sheetViews>
  <sheetFormatPr defaultColWidth="8.88671875" defaultRowHeight="13.8"/>
  <cols>
    <col min="1" max="1" width="4" style="26" customWidth="1"/>
    <col min="2" max="2" width="19.21875" style="26" customWidth="1"/>
    <col min="3" max="3" width="9.33203125" style="26" customWidth="1"/>
    <col min="4" max="4" width="10.109375" style="26" customWidth="1"/>
    <col min="5" max="6" width="9" style="26" customWidth="1"/>
    <col min="7" max="8" width="10.33203125" style="26" customWidth="1"/>
    <col min="9" max="9" width="1.77734375" style="26" customWidth="1"/>
    <col min="10" max="10" width="4" style="26" customWidth="1"/>
    <col min="11" max="11" width="11.109375" style="26" customWidth="1"/>
    <col min="12" max="12" width="4.77734375" style="26" customWidth="1"/>
    <col min="13" max="13" width="15.109375" style="26" customWidth="1"/>
    <col min="14" max="15" width="8.88671875" style="26" customWidth="1"/>
    <col min="16" max="16" width="8" style="26" customWidth="1"/>
    <col min="17" max="17" width="8.88671875" style="26" customWidth="1"/>
    <col min="18" max="18" width="8.88671875" style="26"/>
    <col min="19" max="19" width="9.88671875" style="26" customWidth="1"/>
    <col min="20" max="20" width="50.6640625" style="26" customWidth="1"/>
    <col min="21" max="21" width="35.5546875" style="26" customWidth="1"/>
    <col min="22" max="16384" width="8.88671875" style="26"/>
  </cols>
  <sheetData>
    <row r="1" spans="1:24" ht="19.05" customHeight="1">
      <c r="A1" s="758"/>
      <c r="B1" s="759"/>
      <c r="C1" s="764" t="s">
        <v>139</v>
      </c>
      <c r="D1" s="765"/>
      <c r="E1" s="765"/>
      <c r="F1" s="765"/>
      <c r="G1" s="765"/>
      <c r="H1" s="765"/>
      <c r="I1" s="765"/>
      <c r="J1" s="765"/>
      <c r="K1" s="765"/>
      <c r="L1" s="765"/>
      <c r="M1" s="765"/>
      <c r="N1" s="387" t="s">
        <v>140</v>
      </c>
      <c r="O1" s="387"/>
      <c r="P1" s="387"/>
      <c r="Q1" s="388"/>
    </row>
    <row r="2" spans="1:24" ht="19.05" customHeight="1">
      <c r="A2" s="760"/>
      <c r="B2" s="761"/>
      <c r="C2" s="767"/>
      <c r="D2" s="465"/>
      <c r="E2" s="465"/>
      <c r="F2" s="465"/>
      <c r="G2" s="465"/>
      <c r="H2" s="465"/>
      <c r="I2" s="465"/>
      <c r="J2" s="465"/>
      <c r="K2" s="465"/>
      <c r="L2" s="465"/>
      <c r="M2" s="465"/>
      <c r="N2" s="390" t="s">
        <v>87</v>
      </c>
      <c r="O2" s="390"/>
      <c r="P2" s="390"/>
      <c r="Q2" s="391"/>
    </row>
    <row r="3" spans="1:24" ht="19.05" customHeight="1">
      <c r="A3" s="762"/>
      <c r="B3" s="763"/>
      <c r="C3" s="768"/>
      <c r="D3" s="769"/>
      <c r="E3" s="769"/>
      <c r="F3" s="769"/>
      <c r="G3" s="769"/>
      <c r="H3" s="769"/>
      <c r="I3" s="769"/>
      <c r="J3" s="769"/>
      <c r="K3" s="769"/>
      <c r="L3" s="769"/>
      <c r="M3" s="769"/>
      <c r="N3" s="393" t="s">
        <v>88</v>
      </c>
      <c r="O3" s="393"/>
      <c r="P3" s="393"/>
      <c r="Q3" s="394"/>
      <c r="T3" s="36"/>
    </row>
    <row r="4" spans="1:24" ht="15" customHeight="1">
      <c r="A4" s="34"/>
      <c r="C4" s="82"/>
      <c r="T4" s="36"/>
    </row>
    <row r="5" spans="1:24" ht="15" customHeight="1">
      <c r="A5" s="518" t="s">
        <v>89</v>
      </c>
      <c r="B5" s="518"/>
      <c r="C5" s="581">
        <f>'In 2'!C5</f>
        <v>0</v>
      </c>
      <c r="D5" s="581"/>
      <c r="E5" s="581"/>
      <c r="F5" s="581"/>
      <c r="G5" s="581"/>
      <c r="H5" s="581"/>
      <c r="I5" s="286"/>
      <c r="J5" s="286"/>
      <c r="K5" s="269"/>
      <c r="L5" s="266"/>
      <c r="M5" s="83" t="s">
        <v>3</v>
      </c>
      <c r="N5" s="289">
        <f>'In 2'!K5</f>
        <v>0</v>
      </c>
      <c r="O5" s="266"/>
      <c r="T5" s="36"/>
      <c r="U5" s="26" t="s">
        <v>59</v>
      </c>
      <c r="V5" s="26" t="s">
        <v>60</v>
      </c>
      <c r="W5" s="26" t="s">
        <v>61</v>
      </c>
      <c r="X5" s="26" t="s">
        <v>62</v>
      </c>
    </row>
    <row r="6" spans="1:24" ht="15" customHeight="1">
      <c r="A6" s="521" t="s">
        <v>90</v>
      </c>
      <c r="B6" s="521"/>
      <c r="C6" s="757">
        <f>'In 2'!C6</f>
        <v>0</v>
      </c>
      <c r="D6" s="757"/>
      <c r="E6" s="757"/>
      <c r="F6" s="757"/>
      <c r="G6" s="757"/>
      <c r="H6" s="757"/>
      <c r="I6" s="286"/>
      <c r="J6" s="286"/>
      <c r="K6" s="267"/>
      <c r="L6" s="266"/>
      <c r="M6" s="83" t="s">
        <v>141</v>
      </c>
      <c r="N6" s="26" t="s">
        <v>127</v>
      </c>
      <c r="T6" s="36"/>
    </row>
    <row r="7" spans="1:24" ht="15" customHeight="1">
      <c r="A7" s="521" t="s">
        <v>92</v>
      </c>
      <c r="B7" s="521"/>
      <c r="C7" s="757">
        <f>'In 2'!C7</f>
        <v>0</v>
      </c>
      <c r="D7" s="757"/>
      <c r="E7" s="757"/>
      <c r="F7" s="757"/>
      <c r="G7" s="757"/>
      <c r="H7" s="757"/>
      <c r="I7" s="287"/>
      <c r="J7" s="287"/>
      <c r="K7" s="288"/>
      <c r="L7" s="266"/>
      <c r="M7" s="83" t="s">
        <v>93</v>
      </c>
      <c r="N7" s="86" t="s">
        <v>341</v>
      </c>
      <c r="T7" s="36"/>
    </row>
    <row r="8" spans="1:24" ht="20.399999999999999" customHeight="1">
      <c r="A8" s="521" t="s">
        <v>94</v>
      </c>
      <c r="B8" s="521"/>
      <c r="C8" s="581">
        <f>'In 2'!C8</f>
        <v>0</v>
      </c>
      <c r="D8" s="581"/>
      <c r="E8" s="581"/>
      <c r="F8" s="581"/>
      <c r="G8" s="581"/>
      <c r="H8" s="581"/>
      <c r="I8" s="581"/>
      <c r="J8" s="581"/>
      <c r="K8" s="581"/>
      <c r="L8" s="581"/>
      <c r="M8" s="83" t="s">
        <v>95</v>
      </c>
      <c r="N8" s="86" t="s">
        <v>341</v>
      </c>
      <c r="T8" s="36"/>
    </row>
    <row r="9" spans="1:24" ht="15" customHeight="1">
      <c r="A9" s="36"/>
      <c r="B9" s="36"/>
      <c r="C9" s="146"/>
      <c r="D9" s="146"/>
      <c r="E9" s="146"/>
      <c r="F9" s="146"/>
      <c r="G9" s="146"/>
      <c r="H9" s="146"/>
      <c r="I9" s="146"/>
      <c r="J9" s="146"/>
      <c r="K9" s="146"/>
      <c r="L9" s="146"/>
      <c r="T9" s="36"/>
    </row>
    <row r="10" spans="1:24" ht="19.05" customHeight="1">
      <c r="A10" s="444"/>
      <c r="B10" s="445"/>
      <c r="C10" s="340" t="s">
        <v>96</v>
      </c>
      <c r="D10" s="348"/>
      <c r="E10" s="348"/>
      <c r="F10" s="348"/>
      <c r="G10" s="348"/>
      <c r="H10" s="348"/>
      <c r="I10" s="348"/>
      <c r="J10" s="313"/>
      <c r="K10" s="340" t="s">
        <v>97</v>
      </c>
      <c r="L10" s="348"/>
      <c r="M10" s="348"/>
      <c r="N10" s="348"/>
      <c r="O10" s="348"/>
      <c r="P10" s="348"/>
      <c r="Q10" s="557"/>
      <c r="T10" s="36"/>
    </row>
    <row r="11" spans="1:24" ht="19.05" customHeight="1">
      <c r="A11" s="579" t="s">
        <v>98</v>
      </c>
      <c r="B11" s="331"/>
      <c r="C11" s="800" t="s">
        <v>313</v>
      </c>
      <c r="D11" s="801"/>
      <c r="E11" s="801"/>
      <c r="F11" s="801"/>
      <c r="G11" s="801"/>
      <c r="H11" s="801"/>
      <c r="I11" s="801"/>
      <c r="J11" s="814"/>
      <c r="K11" s="800" t="s">
        <v>313</v>
      </c>
      <c r="L11" s="801"/>
      <c r="M11" s="801"/>
      <c r="N11" s="801"/>
      <c r="O11" s="801"/>
      <c r="P11" s="801"/>
      <c r="Q11" s="802"/>
      <c r="T11" s="36"/>
    </row>
    <row r="12" spans="1:24" ht="19.05" customHeight="1">
      <c r="A12" s="579" t="s">
        <v>99</v>
      </c>
      <c r="B12" s="331"/>
      <c r="C12" s="800" t="s">
        <v>100</v>
      </c>
      <c r="D12" s="801"/>
      <c r="E12" s="801"/>
      <c r="F12" s="801"/>
      <c r="G12" s="801"/>
      <c r="H12" s="801"/>
      <c r="I12" s="801"/>
      <c r="J12" s="814"/>
      <c r="K12" s="800" t="s">
        <v>314</v>
      </c>
      <c r="L12" s="801"/>
      <c r="M12" s="801"/>
      <c r="N12" s="801"/>
      <c r="O12" s="801"/>
      <c r="P12" s="801"/>
      <c r="Q12" s="802"/>
      <c r="T12" s="36"/>
    </row>
    <row r="13" spans="1:24" ht="19.05" customHeight="1">
      <c r="A13" s="580" t="s">
        <v>101</v>
      </c>
      <c r="B13" s="333"/>
      <c r="C13" s="341"/>
      <c r="D13" s="482"/>
      <c r="E13" s="482"/>
      <c r="F13" s="482"/>
      <c r="G13" s="482"/>
      <c r="H13" s="482"/>
      <c r="I13" s="482"/>
      <c r="J13" s="314"/>
      <c r="K13" s="805"/>
      <c r="L13" s="806"/>
      <c r="M13" s="806"/>
      <c r="N13" s="806"/>
      <c r="O13" s="806"/>
      <c r="P13" s="806"/>
      <c r="Q13" s="807"/>
      <c r="T13" s="36"/>
    </row>
    <row r="14" spans="1:24">
      <c r="T14" s="36"/>
    </row>
    <row r="15" spans="1:24" ht="24" customHeight="1">
      <c r="A15" s="808" t="s">
        <v>131</v>
      </c>
      <c r="B15" s="809"/>
      <c r="C15" s="809"/>
      <c r="D15" s="809"/>
      <c r="E15" s="809"/>
      <c r="F15" s="809"/>
      <c r="G15" s="809"/>
      <c r="H15" s="810"/>
      <c r="J15" s="384" t="s">
        <v>142</v>
      </c>
      <c r="K15" s="385"/>
      <c r="L15" s="385"/>
      <c r="M15" s="385"/>
      <c r="N15" s="385"/>
      <c r="O15" s="385"/>
      <c r="P15" s="385"/>
      <c r="Q15" s="305"/>
      <c r="T15" s="36"/>
    </row>
    <row r="16" spans="1:24" ht="18" customHeight="1">
      <c r="A16" s="87" t="s">
        <v>207</v>
      </c>
      <c r="B16" s="88"/>
      <c r="C16" s="752">
        <f>Tráng!M9</f>
        <v>0</v>
      </c>
      <c r="D16" s="811"/>
      <c r="E16" s="811"/>
      <c r="F16" s="812" t="s">
        <v>51</v>
      </c>
      <c r="G16" s="812"/>
      <c r="H16" s="813"/>
      <c r="J16" s="397" t="s">
        <v>105</v>
      </c>
      <c r="K16" s="542"/>
      <c r="L16" s="542"/>
      <c r="M16" s="542"/>
      <c r="N16" s="542" t="s">
        <v>106</v>
      </c>
      <c r="O16" s="542"/>
      <c r="P16" s="542"/>
      <c r="Q16" s="543"/>
      <c r="T16" s="33"/>
    </row>
    <row r="17" spans="1:20" ht="18" customHeight="1">
      <c r="A17" s="87" t="s">
        <v>208</v>
      </c>
      <c r="B17" s="88"/>
      <c r="C17" s="800"/>
      <c r="D17" s="801"/>
      <c r="E17" s="801"/>
      <c r="F17" s="801"/>
      <c r="G17" s="801"/>
      <c r="H17" s="802"/>
      <c r="J17" s="365"/>
      <c r="K17" s="366"/>
      <c r="L17" s="366"/>
      <c r="M17" s="366"/>
      <c r="N17" s="366"/>
      <c r="O17" s="366"/>
      <c r="P17" s="366"/>
      <c r="Q17" s="544"/>
      <c r="T17" s="36"/>
    </row>
    <row r="18" spans="1:20" ht="18" customHeight="1">
      <c r="A18" s="87" t="s">
        <v>209</v>
      </c>
      <c r="B18" s="88"/>
      <c r="C18" s="803">
        <f>G21+G22+G23</f>
        <v>0</v>
      </c>
      <c r="D18" s="804"/>
      <c r="E18" s="797"/>
      <c r="F18" s="585" t="s">
        <v>49</v>
      </c>
      <c r="G18" s="586"/>
      <c r="H18" s="587"/>
      <c r="J18" s="349"/>
      <c r="K18" s="350"/>
      <c r="L18" s="350"/>
      <c r="M18" s="350"/>
      <c r="N18" s="350"/>
      <c r="O18" s="350"/>
      <c r="P18" s="350"/>
      <c r="Q18" s="545"/>
      <c r="T18" s="36"/>
    </row>
    <row r="19" spans="1:20" ht="18" customHeight="1">
      <c r="A19" s="89" t="s">
        <v>32</v>
      </c>
      <c r="B19" s="90" t="s">
        <v>33</v>
      </c>
      <c r="C19" s="542" t="s">
        <v>34</v>
      </c>
      <c r="D19" s="546"/>
      <c r="E19" s="90" t="s">
        <v>145</v>
      </c>
      <c r="F19" s="91" t="s">
        <v>6</v>
      </c>
      <c r="G19" s="91" t="s">
        <v>146</v>
      </c>
      <c r="H19" s="92" t="s">
        <v>147</v>
      </c>
      <c r="T19" s="36"/>
    </row>
    <row r="20" spans="1:20" ht="18" customHeight="1">
      <c r="A20" s="54">
        <v>2</v>
      </c>
      <c r="B20" s="214">
        <f>Tráng!C17</f>
        <v>0</v>
      </c>
      <c r="C20" s="796">
        <f>Tráng!D17</f>
        <v>0</v>
      </c>
      <c r="D20" s="797"/>
      <c r="E20" s="272"/>
      <c r="F20" s="229" t="s">
        <v>49</v>
      </c>
      <c r="G20" s="230">
        <f>Tráng!G17</f>
        <v>0</v>
      </c>
      <c r="H20" s="96"/>
      <c r="J20" s="384" t="s">
        <v>149</v>
      </c>
      <c r="K20" s="385"/>
      <c r="L20" s="385"/>
      <c r="M20" s="385"/>
      <c r="N20" s="385"/>
      <c r="O20" s="385"/>
      <c r="P20" s="385"/>
      <c r="Q20" s="305"/>
      <c r="T20" s="36"/>
    </row>
    <row r="21" spans="1:20" ht="18" customHeight="1">
      <c r="A21" s="54">
        <v>3</v>
      </c>
      <c r="B21" s="213" t="str">
        <f>Tráng!C18</f>
        <v>F801C</v>
      </c>
      <c r="C21" s="796" t="str">
        <f>Tráng!D18</f>
        <v>NHPPNSF801C001</v>
      </c>
      <c r="D21" s="797"/>
      <c r="E21" s="272">
        <v>0.85</v>
      </c>
      <c r="F21" s="229" t="s">
        <v>49</v>
      </c>
      <c r="G21" s="230">
        <f>Tráng!G18</f>
        <v>0</v>
      </c>
      <c r="H21" s="30"/>
      <c r="J21" s="397" t="s">
        <v>105</v>
      </c>
      <c r="K21" s="542"/>
      <c r="L21" s="542"/>
      <c r="M21" s="542"/>
      <c r="N21" s="542" t="s">
        <v>106</v>
      </c>
      <c r="O21" s="542"/>
      <c r="P21" s="542"/>
      <c r="Q21" s="543"/>
      <c r="T21" s="36"/>
    </row>
    <row r="22" spans="1:20" ht="18" customHeight="1">
      <c r="A22" s="54">
        <v>4</v>
      </c>
      <c r="B22" s="225" t="str">
        <f>Tráng!C19</f>
        <v>Taical</v>
      </c>
      <c r="C22" s="796" t="str">
        <f>Tráng!D19</f>
        <v>NHTEFPP010511</v>
      </c>
      <c r="D22" s="797"/>
      <c r="E22" s="272">
        <v>7.0000000000000007E-2</v>
      </c>
      <c r="F22" s="229" t="s">
        <v>49</v>
      </c>
      <c r="G22" s="290">
        <f>Tráng!G19</f>
        <v>0</v>
      </c>
      <c r="H22" s="30"/>
      <c r="J22" s="365"/>
      <c r="K22" s="366"/>
      <c r="L22" s="366"/>
      <c r="M22" s="366"/>
      <c r="N22" s="366"/>
      <c r="O22" s="366"/>
      <c r="P22" s="366"/>
      <c r="Q22" s="544"/>
      <c r="T22" s="36"/>
    </row>
    <row r="23" spans="1:20" ht="18" customHeight="1" thickBot="1">
      <c r="A23" s="70">
        <v>5</v>
      </c>
      <c r="B23" s="291" t="str">
        <f>Tráng!C20</f>
        <v xml:space="preserve">Hạt màu </v>
      </c>
      <c r="C23" s="798" t="str">
        <f>Tráng!D20</f>
        <v>NHMMWD9015001</v>
      </c>
      <c r="D23" s="799"/>
      <c r="E23" s="292">
        <v>0.08</v>
      </c>
      <c r="F23" s="292" t="s">
        <v>49</v>
      </c>
      <c r="G23" s="293">
        <f>Tráng!G20</f>
        <v>0</v>
      </c>
      <c r="H23" s="32"/>
      <c r="J23" s="349"/>
      <c r="K23" s="350"/>
      <c r="L23" s="350"/>
      <c r="M23" s="350"/>
      <c r="N23" s="350"/>
      <c r="O23" s="350"/>
      <c r="P23" s="350"/>
      <c r="Q23" s="545"/>
      <c r="T23" s="36"/>
    </row>
    <row r="24" spans="1:20" ht="18" customHeight="1">
      <c r="A24" s="34"/>
      <c r="B24" s="25"/>
      <c r="C24" s="36"/>
      <c r="D24" s="36"/>
      <c r="E24" s="187"/>
      <c r="F24" s="143"/>
      <c r="G24" s="193"/>
      <c r="J24" s="384" t="s">
        <v>330</v>
      </c>
      <c r="K24" s="385"/>
      <c r="L24" s="385"/>
      <c r="M24" s="385"/>
      <c r="N24" s="385"/>
      <c r="O24" s="385"/>
      <c r="P24" s="385"/>
      <c r="Q24" s="305"/>
      <c r="T24" s="36"/>
    </row>
    <row r="25" spans="1:20" ht="18" customHeight="1">
      <c r="A25" s="34"/>
      <c r="B25" s="25"/>
      <c r="C25" s="36"/>
      <c r="D25" s="36"/>
      <c r="E25" s="187"/>
      <c r="F25" s="143"/>
      <c r="G25" s="193"/>
      <c r="J25" s="397" t="s">
        <v>105</v>
      </c>
      <c r="K25" s="542"/>
      <c r="L25" s="542"/>
      <c r="M25" s="542"/>
      <c r="N25" s="542" t="s">
        <v>106</v>
      </c>
      <c r="O25" s="542"/>
      <c r="P25" s="542"/>
      <c r="Q25" s="543"/>
      <c r="T25" s="36"/>
    </row>
    <row r="26" spans="1:20" ht="18" customHeight="1">
      <c r="A26" s="34"/>
      <c r="B26" s="25"/>
      <c r="C26" s="36"/>
      <c r="D26" s="36"/>
      <c r="E26" s="187"/>
      <c r="F26" s="143"/>
      <c r="G26" s="193"/>
      <c r="J26" s="365"/>
      <c r="K26" s="366"/>
      <c r="L26" s="366"/>
      <c r="M26" s="366"/>
      <c r="N26" s="366"/>
      <c r="O26" s="366"/>
      <c r="P26" s="366"/>
      <c r="Q26" s="544"/>
      <c r="T26" s="36"/>
    </row>
    <row r="27" spans="1:20" ht="18" customHeight="1" thickBot="1">
      <c r="B27" s="25"/>
      <c r="C27" s="36"/>
      <c r="D27" s="395"/>
      <c r="E27" s="395"/>
      <c r="F27" s="104"/>
      <c r="G27" s="423"/>
      <c r="H27" s="423"/>
      <c r="J27" s="349"/>
      <c r="K27" s="350"/>
      <c r="L27" s="350"/>
      <c r="M27" s="350"/>
      <c r="N27" s="350"/>
      <c r="O27" s="350"/>
      <c r="P27" s="350"/>
      <c r="Q27" s="545"/>
      <c r="T27" s="36"/>
    </row>
    <row r="28" spans="1:20" ht="18" customHeight="1">
      <c r="A28" s="384" t="s">
        <v>32</v>
      </c>
      <c r="B28" s="385" t="s">
        <v>152</v>
      </c>
      <c r="C28" s="385"/>
      <c r="D28" s="320" t="s">
        <v>153</v>
      </c>
      <c r="E28" s="492" t="s">
        <v>154</v>
      </c>
      <c r="F28" s="492"/>
      <c r="G28" s="385" t="s">
        <v>35</v>
      </c>
      <c r="H28" s="305" t="s">
        <v>106</v>
      </c>
      <c r="J28" s="384" t="s">
        <v>32</v>
      </c>
      <c r="K28" s="385" t="s">
        <v>181</v>
      </c>
      <c r="L28" s="385"/>
      <c r="M28" s="320" t="s">
        <v>153</v>
      </c>
      <c r="N28" s="492" t="s">
        <v>154</v>
      </c>
      <c r="O28" s="492"/>
      <c r="P28" s="385" t="s">
        <v>35</v>
      </c>
      <c r="Q28" s="305" t="s">
        <v>106</v>
      </c>
      <c r="R28" s="109"/>
      <c r="T28" s="36"/>
    </row>
    <row r="29" spans="1:20" ht="18" customHeight="1">
      <c r="A29" s="541"/>
      <c r="B29" s="542"/>
      <c r="C29" s="542"/>
      <c r="D29" s="398"/>
      <c r="E29" s="90" t="s">
        <v>159</v>
      </c>
      <c r="F29" s="90" t="s">
        <v>159</v>
      </c>
      <c r="G29" s="542"/>
      <c r="H29" s="543"/>
      <c r="J29" s="541"/>
      <c r="K29" s="542"/>
      <c r="L29" s="542"/>
      <c r="M29" s="398"/>
      <c r="N29" s="90" t="s">
        <v>159</v>
      </c>
      <c r="O29" s="90" t="s">
        <v>159</v>
      </c>
      <c r="P29" s="542"/>
      <c r="Q29" s="543"/>
      <c r="R29" s="109"/>
      <c r="T29" s="36"/>
    </row>
    <row r="30" spans="1:20" ht="19.95" customHeight="1">
      <c r="A30" s="54">
        <v>1</v>
      </c>
      <c r="B30" s="716" t="s">
        <v>210</v>
      </c>
      <c r="C30" s="447"/>
      <c r="D30" s="215"/>
      <c r="E30" s="61"/>
      <c r="F30" s="140"/>
      <c r="G30" s="29" t="s">
        <v>173</v>
      </c>
      <c r="H30" s="30"/>
      <c r="J30" s="54">
        <v>1</v>
      </c>
      <c r="K30" s="331" t="s">
        <v>211</v>
      </c>
      <c r="L30" s="331"/>
      <c r="M30" s="144" t="s">
        <v>212</v>
      </c>
      <c r="N30" s="61"/>
      <c r="O30" s="140"/>
      <c r="P30" s="29" t="s">
        <v>108</v>
      </c>
      <c r="Q30" s="112"/>
      <c r="R30" s="110"/>
      <c r="T30" s="36"/>
    </row>
    <row r="31" spans="1:20" ht="19.95" customHeight="1">
      <c r="A31" s="54">
        <v>2</v>
      </c>
      <c r="B31" s="716" t="s">
        <v>192</v>
      </c>
      <c r="C31" s="447"/>
      <c r="D31" s="148" t="s">
        <v>213</v>
      </c>
      <c r="E31" s="61"/>
      <c r="F31" s="140"/>
      <c r="G31" s="29" t="s">
        <v>194</v>
      </c>
      <c r="H31" s="30"/>
      <c r="J31" s="54">
        <v>2</v>
      </c>
      <c r="K31" s="331" t="s">
        <v>214</v>
      </c>
      <c r="L31" s="331"/>
      <c r="M31" s="215"/>
      <c r="N31" s="61"/>
      <c r="O31" s="140"/>
      <c r="P31" s="29" t="s">
        <v>108</v>
      </c>
      <c r="Q31" s="112"/>
      <c r="R31" s="110"/>
      <c r="T31" s="36"/>
    </row>
    <row r="32" spans="1:20" ht="19.95" customHeight="1">
      <c r="A32" s="54">
        <v>3</v>
      </c>
      <c r="B32" s="716" t="s">
        <v>162</v>
      </c>
      <c r="C32" s="447"/>
      <c r="D32" s="46" t="s">
        <v>215</v>
      </c>
      <c r="E32" s="61"/>
      <c r="F32" s="141"/>
      <c r="G32" s="29" t="s">
        <v>164</v>
      </c>
      <c r="H32" s="30"/>
      <c r="J32" s="54">
        <v>3</v>
      </c>
      <c r="K32" s="331" t="s">
        <v>216</v>
      </c>
      <c r="L32" s="331"/>
      <c r="M32" s="215"/>
      <c r="N32" s="61"/>
      <c r="O32" s="140"/>
      <c r="P32" s="29" t="s">
        <v>217</v>
      </c>
      <c r="Q32" s="112"/>
      <c r="R32" s="110"/>
      <c r="T32" s="36"/>
    </row>
    <row r="33" spans="1:20" ht="19.95" customHeight="1">
      <c r="A33" s="54">
        <v>4</v>
      </c>
      <c r="B33" s="716" t="s">
        <v>218</v>
      </c>
      <c r="C33" s="447"/>
      <c r="D33" s="46" t="s">
        <v>331</v>
      </c>
      <c r="E33" s="61"/>
      <c r="F33" s="140"/>
      <c r="G33" s="29" t="s">
        <v>219</v>
      </c>
      <c r="H33" s="30"/>
      <c r="J33" s="54">
        <v>4</v>
      </c>
      <c r="K33" s="331" t="s">
        <v>220</v>
      </c>
      <c r="L33" s="331"/>
      <c r="M33" s="46">
        <v>20</v>
      </c>
      <c r="N33" s="61"/>
      <c r="O33" s="141"/>
      <c r="P33" s="29" t="s">
        <v>217</v>
      </c>
      <c r="Q33" s="112"/>
      <c r="R33" s="110"/>
      <c r="T33" s="36"/>
    </row>
    <row r="34" spans="1:20" ht="19.95" customHeight="1">
      <c r="A34" s="54">
        <v>5</v>
      </c>
      <c r="B34" s="716" t="s">
        <v>221</v>
      </c>
      <c r="C34" s="447"/>
      <c r="D34" s="46" t="s">
        <v>332</v>
      </c>
      <c r="E34" s="61"/>
      <c r="F34" s="140"/>
      <c r="G34" s="29" t="s">
        <v>170</v>
      </c>
      <c r="H34" s="30"/>
      <c r="J34" s="54">
        <v>5</v>
      </c>
      <c r="K34" s="331" t="s">
        <v>185</v>
      </c>
      <c r="L34" s="331"/>
      <c r="M34" s="149" t="s">
        <v>222</v>
      </c>
      <c r="N34" s="61"/>
      <c r="O34" s="140"/>
      <c r="P34" s="29"/>
      <c r="Q34" s="132"/>
      <c r="R34" s="109"/>
      <c r="T34" s="36"/>
    </row>
    <row r="35" spans="1:20" ht="19.95" customHeight="1">
      <c r="A35" s="54">
        <v>6</v>
      </c>
      <c r="B35" s="716" t="s">
        <v>223</v>
      </c>
      <c r="C35" s="447"/>
      <c r="D35" s="46" t="s">
        <v>224</v>
      </c>
      <c r="E35" s="61"/>
      <c r="F35" s="140"/>
      <c r="G35" s="29" t="s">
        <v>219</v>
      </c>
      <c r="H35" s="30"/>
      <c r="J35" s="734">
        <v>6</v>
      </c>
      <c r="K35" s="331" t="s">
        <v>187</v>
      </c>
      <c r="L35" s="331"/>
      <c r="M35" s="784" t="s">
        <v>225</v>
      </c>
      <c r="N35" s="782"/>
      <c r="O35" s="782"/>
      <c r="P35" s="782"/>
      <c r="Q35" s="543"/>
      <c r="R35" s="110"/>
      <c r="T35" s="36"/>
    </row>
    <row r="36" spans="1:20" ht="19.95" customHeight="1">
      <c r="A36" s="54">
        <v>7</v>
      </c>
      <c r="B36" s="716" t="s">
        <v>226</v>
      </c>
      <c r="C36" s="447"/>
      <c r="D36" s="46" t="s">
        <v>224</v>
      </c>
      <c r="E36" s="61"/>
      <c r="F36" s="140"/>
      <c r="G36" s="29" t="s">
        <v>219</v>
      </c>
      <c r="H36" s="30"/>
      <c r="J36" s="732"/>
      <c r="K36" s="331"/>
      <c r="L36" s="331"/>
      <c r="M36" s="785"/>
      <c r="N36" s="782"/>
      <c r="O36" s="782"/>
      <c r="P36" s="782"/>
      <c r="Q36" s="543"/>
      <c r="R36" s="110"/>
      <c r="T36" s="36"/>
    </row>
    <row r="37" spans="1:20" ht="19.95" customHeight="1" thickBot="1">
      <c r="A37" s="54">
        <v>8</v>
      </c>
      <c r="B37" s="716" t="s">
        <v>227</v>
      </c>
      <c r="C37" s="447"/>
      <c r="D37" s="46" t="s">
        <v>224</v>
      </c>
      <c r="E37" s="61"/>
      <c r="F37" s="140"/>
      <c r="G37" s="29" t="s">
        <v>219</v>
      </c>
      <c r="H37" s="30"/>
      <c r="J37" s="733"/>
      <c r="K37" s="333"/>
      <c r="L37" s="333"/>
      <c r="M37" s="786"/>
      <c r="N37" s="783"/>
      <c r="O37" s="783"/>
      <c r="P37" s="783"/>
      <c r="Q37" s="306"/>
      <c r="R37" s="110"/>
      <c r="T37" s="36"/>
    </row>
    <row r="38" spans="1:20" ht="19.95" customHeight="1" thickBot="1">
      <c r="A38" s="54">
        <v>9</v>
      </c>
      <c r="B38" s="716" t="s">
        <v>228</v>
      </c>
      <c r="C38" s="447"/>
      <c r="D38" s="46" t="s">
        <v>224</v>
      </c>
      <c r="E38" s="61"/>
      <c r="F38" s="140"/>
      <c r="G38" s="29" t="s">
        <v>219</v>
      </c>
      <c r="H38" s="30"/>
      <c r="R38" s="110"/>
      <c r="T38" s="36"/>
    </row>
    <row r="39" spans="1:20" ht="19.95" customHeight="1">
      <c r="A39" s="54">
        <v>10</v>
      </c>
      <c r="B39" s="716" t="s">
        <v>229</v>
      </c>
      <c r="C39" s="447"/>
      <c r="D39" s="46" t="s">
        <v>224</v>
      </c>
      <c r="E39" s="61"/>
      <c r="F39" s="140"/>
      <c r="G39" s="29" t="s">
        <v>219</v>
      </c>
      <c r="H39" s="30"/>
      <c r="J39" s="150" t="s">
        <v>32</v>
      </c>
      <c r="K39" s="385" t="s">
        <v>114</v>
      </c>
      <c r="L39" s="385"/>
      <c r="M39" s="385"/>
      <c r="N39" s="385" t="s">
        <v>99</v>
      </c>
      <c r="O39" s="385"/>
      <c r="P39" s="385" t="s">
        <v>151</v>
      </c>
      <c r="Q39" s="305"/>
      <c r="R39" s="110"/>
      <c r="T39" s="36"/>
    </row>
    <row r="40" spans="1:20" ht="19.95" customHeight="1">
      <c r="A40" s="54">
        <v>11</v>
      </c>
      <c r="B40" s="716" t="s">
        <v>230</v>
      </c>
      <c r="C40" s="447"/>
      <c r="D40" s="46" t="s">
        <v>224</v>
      </c>
      <c r="E40" s="61"/>
      <c r="F40" s="140"/>
      <c r="G40" s="29" t="s">
        <v>219</v>
      </c>
      <c r="H40" s="30"/>
      <c r="J40" s="54">
        <v>1</v>
      </c>
      <c r="K40" s="542"/>
      <c r="L40" s="542"/>
      <c r="M40" s="542"/>
      <c r="N40" s="542"/>
      <c r="O40" s="542"/>
      <c r="P40" s="542"/>
      <c r="Q40" s="543"/>
      <c r="R40" s="110"/>
      <c r="T40" s="36"/>
    </row>
    <row r="41" spans="1:20" ht="19.95" customHeight="1">
      <c r="A41" s="54">
        <v>12</v>
      </c>
      <c r="B41" s="716" t="s">
        <v>231</v>
      </c>
      <c r="C41" s="447"/>
      <c r="D41" s="46" t="s">
        <v>224</v>
      </c>
      <c r="E41" s="61"/>
      <c r="F41" s="140"/>
      <c r="G41" s="29" t="s">
        <v>219</v>
      </c>
      <c r="H41" s="30"/>
      <c r="J41" s="54">
        <v>2</v>
      </c>
      <c r="K41" s="542"/>
      <c r="L41" s="542"/>
      <c r="M41" s="542"/>
      <c r="N41" s="542"/>
      <c r="O41" s="542"/>
      <c r="P41" s="542"/>
      <c r="Q41" s="543"/>
      <c r="R41" s="110"/>
      <c r="T41" s="36"/>
    </row>
    <row r="42" spans="1:20" ht="19.95" customHeight="1">
      <c r="A42" s="54">
        <v>13</v>
      </c>
      <c r="B42" s="716" t="s">
        <v>333</v>
      </c>
      <c r="C42" s="447"/>
      <c r="D42" s="46" t="s">
        <v>334</v>
      </c>
      <c r="E42" s="61"/>
      <c r="F42" s="140"/>
      <c r="G42" s="29" t="s">
        <v>219</v>
      </c>
      <c r="H42" s="30"/>
      <c r="J42" s="54">
        <v>3</v>
      </c>
      <c r="K42" s="542"/>
      <c r="L42" s="542"/>
      <c r="M42" s="542"/>
      <c r="N42" s="542"/>
      <c r="O42" s="542"/>
      <c r="P42" s="542"/>
      <c r="Q42" s="543"/>
      <c r="R42" s="110"/>
      <c r="T42" s="36"/>
    </row>
    <row r="43" spans="1:20" ht="19.95" customHeight="1">
      <c r="A43" s="54">
        <v>14</v>
      </c>
      <c r="B43" s="716" t="s">
        <v>232</v>
      </c>
      <c r="C43" s="447"/>
      <c r="D43" s="46" t="s">
        <v>335</v>
      </c>
      <c r="E43" s="61"/>
      <c r="F43" s="140"/>
      <c r="G43" s="29" t="s">
        <v>219</v>
      </c>
      <c r="H43" s="30"/>
      <c r="J43" s="54">
        <v>4</v>
      </c>
      <c r="K43" s="542"/>
      <c r="L43" s="542"/>
      <c r="M43" s="542"/>
      <c r="N43" s="542"/>
      <c r="O43" s="542"/>
      <c r="P43" s="542"/>
      <c r="Q43" s="543"/>
      <c r="R43" s="110"/>
      <c r="T43" s="36"/>
    </row>
    <row r="44" spans="1:20" ht="19.95" customHeight="1" thickBot="1">
      <c r="A44" s="54">
        <v>15</v>
      </c>
      <c r="B44" s="716" t="s">
        <v>233</v>
      </c>
      <c r="C44" s="447"/>
      <c r="D44" s="46" t="s">
        <v>235</v>
      </c>
      <c r="E44" s="61"/>
      <c r="F44" s="60"/>
      <c r="G44" s="29" t="s">
        <v>219</v>
      </c>
      <c r="H44" s="30"/>
      <c r="J44" s="70">
        <v>5</v>
      </c>
      <c r="K44" s="563"/>
      <c r="L44" s="563"/>
      <c r="M44" s="563"/>
      <c r="N44" s="563"/>
      <c r="O44" s="563"/>
      <c r="P44" s="563"/>
      <c r="Q44" s="306"/>
      <c r="R44" s="110"/>
      <c r="T44" s="36"/>
    </row>
    <row r="45" spans="1:20" ht="19.95" customHeight="1" thickBot="1">
      <c r="A45" s="54">
        <v>16</v>
      </c>
      <c r="B45" s="716" t="s">
        <v>234</v>
      </c>
      <c r="C45" s="447"/>
      <c r="D45" s="46" t="s">
        <v>336</v>
      </c>
      <c r="E45" s="61"/>
      <c r="F45" s="60"/>
      <c r="G45" s="29" t="s">
        <v>219</v>
      </c>
      <c r="H45" s="30"/>
      <c r="J45" s="138"/>
      <c r="K45" s="138"/>
      <c r="L45" s="138"/>
      <c r="M45" s="138"/>
      <c r="N45" s="138"/>
      <c r="O45" s="138"/>
      <c r="P45" s="138"/>
      <c r="Q45" s="138"/>
      <c r="R45" s="110"/>
      <c r="T45" s="36"/>
    </row>
    <row r="46" spans="1:20" ht="19.95" customHeight="1">
      <c r="A46" s="54">
        <v>17</v>
      </c>
      <c r="B46" s="716" t="s">
        <v>236</v>
      </c>
      <c r="C46" s="447"/>
      <c r="D46" s="46" t="s">
        <v>237</v>
      </c>
      <c r="E46" s="61"/>
      <c r="F46" s="60"/>
      <c r="G46" s="29" t="s">
        <v>219</v>
      </c>
      <c r="H46" s="30"/>
      <c r="J46" s="486" t="s">
        <v>155</v>
      </c>
      <c r="K46" s="487"/>
      <c r="L46" s="488"/>
      <c r="M46" s="328" t="s">
        <v>240</v>
      </c>
      <c r="N46" s="496" t="s">
        <v>157</v>
      </c>
      <c r="O46" s="488"/>
      <c r="P46" s="496" t="s">
        <v>158</v>
      </c>
      <c r="Q46" s="497"/>
      <c r="R46" s="110"/>
      <c r="T46" s="36"/>
    </row>
    <row r="47" spans="1:20" ht="19.95" customHeight="1">
      <c r="A47" s="54">
        <v>18</v>
      </c>
      <c r="B47" s="716" t="s">
        <v>238</v>
      </c>
      <c r="C47" s="447"/>
      <c r="D47" s="46" t="s">
        <v>239</v>
      </c>
      <c r="E47" s="61"/>
      <c r="F47" s="60"/>
      <c r="G47" s="29" t="s">
        <v>219</v>
      </c>
      <c r="H47" s="30"/>
      <c r="J47" s="489"/>
      <c r="K47" s="490"/>
      <c r="L47" s="491"/>
      <c r="M47" s="780"/>
      <c r="N47" s="498"/>
      <c r="O47" s="491"/>
      <c r="P47" s="498"/>
      <c r="Q47" s="499"/>
      <c r="R47" s="110"/>
      <c r="T47" s="36"/>
    </row>
    <row r="48" spans="1:20" ht="19.95" customHeight="1">
      <c r="A48" s="54">
        <v>19</v>
      </c>
      <c r="B48" s="716" t="s">
        <v>241</v>
      </c>
      <c r="C48" s="447"/>
      <c r="D48" s="46" t="s">
        <v>239</v>
      </c>
      <c r="E48" s="61"/>
      <c r="F48" s="60"/>
      <c r="G48" s="29" t="s">
        <v>219</v>
      </c>
      <c r="H48" s="30"/>
      <c r="J48" s="500"/>
      <c r="K48" s="501"/>
      <c r="L48" s="502"/>
      <c r="M48" s="548"/>
      <c r="N48" s="505"/>
      <c r="O48" s="502"/>
      <c r="P48" s="505"/>
      <c r="Q48" s="599"/>
      <c r="R48" s="110"/>
      <c r="T48" s="36"/>
    </row>
    <row r="49" spans="1:20" ht="19.95" customHeight="1">
      <c r="A49" s="54">
        <v>20</v>
      </c>
      <c r="B49" s="716" t="s">
        <v>242</v>
      </c>
      <c r="C49" s="447"/>
      <c r="D49" s="215"/>
      <c r="E49" s="61"/>
      <c r="F49" s="140"/>
      <c r="G49" s="29" t="s">
        <v>170</v>
      </c>
      <c r="H49" s="30"/>
      <c r="J49" s="489"/>
      <c r="K49" s="490"/>
      <c r="L49" s="491"/>
      <c r="M49" s="780"/>
      <c r="N49" s="498"/>
      <c r="O49" s="491"/>
      <c r="P49" s="498"/>
      <c r="Q49" s="499"/>
      <c r="R49" s="110"/>
      <c r="T49" s="36"/>
    </row>
    <row r="50" spans="1:20" ht="19.95" customHeight="1">
      <c r="A50" s="54">
        <v>21</v>
      </c>
      <c r="B50" s="716" t="s">
        <v>243</v>
      </c>
      <c r="C50" s="447"/>
      <c r="D50" s="151" t="s">
        <v>244</v>
      </c>
      <c r="E50" s="61"/>
      <c r="F50" s="140"/>
      <c r="G50" s="29" t="s">
        <v>245</v>
      </c>
      <c r="H50" s="30"/>
      <c r="J50" s="500"/>
      <c r="K50" s="501"/>
      <c r="L50" s="502"/>
      <c r="M50" s="548"/>
      <c r="N50" s="505"/>
      <c r="O50" s="502"/>
      <c r="P50" s="505"/>
      <c r="Q50" s="599"/>
      <c r="R50" s="110"/>
      <c r="T50" s="36"/>
    </row>
    <row r="51" spans="1:20" ht="19.95" customHeight="1">
      <c r="A51" s="54">
        <v>22</v>
      </c>
      <c r="B51" s="716" t="s">
        <v>246</v>
      </c>
      <c r="C51" s="447"/>
      <c r="D51" s="215"/>
      <c r="E51" s="61"/>
      <c r="F51" s="140"/>
      <c r="G51" s="29" t="s">
        <v>108</v>
      </c>
      <c r="H51" s="30"/>
      <c r="J51" s="489"/>
      <c r="K51" s="490"/>
      <c r="L51" s="491"/>
      <c r="M51" s="780"/>
      <c r="N51" s="498"/>
      <c r="O51" s="491"/>
      <c r="P51" s="498"/>
      <c r="Q51" s="499"/>
      <c r="R51" s="110"/>
      <c r="T51" s="36"/>
    </row>
    <row r="52" spans="1:20" ht="19.95" customHeight="1">
      <c r="A52" s="54">
        <v>23</v>
      </c>
      <c r="B52" s="716" t="s">
        <v>247</v>
      </c>
      <c r="C52" s="447"/>
      <c r="D52" s="46">
        <v>10</v>
      </c>
      <c r="E52" s="61"/>
      <c r="F52" s="140"/>
      <c r="G52" s="29" t="s">
        <v>108</v>
      </c>
      <c r="H52" s="30"/>
      <c r="J52" s="500"/>
      <c r="K52" s="501"/>
      <c r="L52" s="502"/>
      <c r="M52" s="548"/>
      <c r="N52" s="505"/>
      <c r="O52" s="502"/>
      <c r="P52" s="505"/>
      <c r="Q52" s="599"/>
      <c r="R52" s="110"/>
      <c r="T52" s="36"/>
    </row>
    <row r="53" spans="1:20" ht="19.95" customHeight="1" thickBot="1">
      <c r="A53" s="54">
        <v>24</v>
      </c>
      <c r="B53" s="716" t="s">
        <v>248</v>
      </c>
      <c r="C53" s="447"/>
      <c r="D53" s="46">
        <v>0.7</v>
      </c>
      <c r="E53" s="61"/>
      <c r="F53" s="140"/>
      <c r="G53" s="29" t="s">
        <v>108</v>
      </c>
      <c r="H53" s="30"/>
      <c r="J53" s="531"/>
      <c r="K53" s="779"/>
      <c r="L53" s="532"/>
      <c r="M53" s="781"/>
      <c r="N53" s="534"/>
      <c r="O53" s="532"/>
      <c r="P53" s="534"/>
      <c r="Q53" s="535"/>
      <c r="R53" s="110"/>
      <c r="T53" s="36"/>
    </row>
    <row r="54" spans="1:20" ht="18" customHeight="1" thickBot="1">
      <c r="A54" s="54">
        <v>25</v>
      </c>
      <c r="B54" s="751" t="s">
        <v>249</v>
      </c>
      <c r="C54" s="448"/>
      <c r="D54" s="142">
        <v>8000</v>
      </c>
      <c r="E54" s="100"/>
      <c r="F54" s="124"/>
      <c r="G54" s="31" t="s">
        <v>18</v>
      </c>
      <c r="H54" s="69"/>
      <c r="R54" s="110"/>
      <c r="T54" s="36"/>
    </row>
    <row r="55" spans="1:20" ht="18" customHeight="1">
      <c r="A55" s="384" t="s">
        <v>250</v>
      </c>
      <c r="B55" s="385"/>
      <c r="C55" s="385"/>
      <c r="D55" s="385"/>
      <c r="E55" s="385"/>
      <c r="F55" s="385"/>
      <c r="G55" s="385"/>
      <c r="H55" s="305"/>
      <c r="I55" s="34"/>
      <c r="J55" s="764" t="s">
        <v>327</v>
      </c>
      <c r="K55" s="765"/>
      <c r="L55" s="765"/>
      <c r="M55" s="787"/>
      <c r="N55" s="790" t="s">
        <v>328</v>
      </c>
      <c r="O55" s="765"/>
      <c r="P55" s="765"/>
      <c r="Q55" s="766"/>
      <c r="T55" s="36"/>
    </row>
    <row r="56" spans="1:20" ht="18" customHeight="1">
      <c r="A56" s="541" t="s">
        <v>126</v>
      </c>
      <c r="B56" s="542"/>
      <c r="C56" s="542"/>
      <c r="D56" s="542"/>
      <c r="E56" s="542" t="s">
        <v>190</v>
      </c>
      <c r="F56" s="542"/>
      <c r="G56" s="542"/>
      <c r="H56" s="543"/>
      <c r="J56" s="788"/>
      <c r="K56" s="513"/>
      <c r="L56" s="513"/>
      <c r="M56" s="789"/>
      <c r="N56" s="512"/>
      <c r="O56" s="513"/>
      <c r="P56" s="513"/>
      <c r="Q56" s="514"/>
      <c r="T56" s="36"/>
    </row>
    <row r="57" spans="1:20" ht="18" customHeight="1">
      <c r="A57" s="365"/>
      <c r="B57" s="366"/>
      <c r="C57" s="366"/>
      <c r="D57" s="366"/>
      <c r="E57" s="366"/>
      <c r="F57" s="366"/>
      <c r="G57" s="366"/>
      <c r="H57" s="544"/>
      <c r="J57" s="791"/>
      <c r="K57" s="508"/>
      <c r="L57" s="508"/>
      <c r="M57" s="792"/>
      <c r="N57" s="507"/>
      <c r="O57" s="508"/>
      <c r="P57" s="508"/>
      <c r="Q57" s="509"/>
      <c r="T57" s="36"/>
    </row>
    <row r="58" spans="1:20" ht="18" customHeight="1">
      <c r="A58" s="365"/>
      <c r="B58" s="366"/>
      <c r="C58" s="366"/>
      <c r="D58" s="366"/>
      <c r="E58" s="366"/>
      <c r="F58" s="366"/>
      <c r="G58" s="366"/>
      <c r="H58" s="544"/>
      <c r="J58" s="767"/>
      <c r="K58" s="465"/>
      <c r="L58" s="465"/>
      <c r="M58" s="793"/>
      <c r="N58" s="510"/>
      <c r="O58" s="465"/>
      <c r="P58" s="465"/>
      <c r="Q58" s="511"/>
      <c r="T58" s="36"/>
    </row>
    <row r="59" spans="1:20" ht="18" customHeight="1" thickBot="1">
      <c r="A59" s="349"/>
      <c r="B59" s="350"/>
      <c r="C59" s="350"/>
      <c r="D59" s="350"/>
      <c r="E59" s="350"/>
      <c r="F59" s="350"/>
      <c r="G59" s="350"/>
      <c r="H59" s="545"/>
      <c r="J59" s="768"/>
      <c r="K59" s="769"/>
      <c r="L59" s="769"/>
      <c r="M59" s="794"/>
      <c r="N59" s="795"/>
      <c r="O59" s="769"/>
      <c r="P59" s="769"/>
      <c r="Q59" s="770"/>
      <c r="T59" s="36"/>
    </row>
    <row r="60" spans="1:20">
      <c r="T60" s="36"/>
    </row>
    <row r="61" spans="1:20">
      <c r="T61" s="36"/>
    </row>
    <row r="62" spans="1:20">
      <c r="D62" s="423"/>
      <c r="E62" s="423"/>
      <c r="F62" s="423"/>
      <c r="G62" s="423"/>
      <c r="T62" s="36"/>
    </row>
    <row r="63" spans="1:20">
      <c r="B63" s="376"/>
      <c r="C63" s="376"/>
      <c r="D63" s="467"/>
      <c r="E63" s="467"/>
      <c r="F63" s="467"/>
      <c r="G63" s="467"/>
      <c r="T63" s="36"/>
    </row>
    <row r="64" spans="1:20">
      <c r="B64" s="376"/>
      <c r="C64" s="376"/>
      <c r="D64" s="467"/>
      <c r="E64" s="467"/>
      <c r="F64" s="470"/>
      <c r="G64" s="470"/>
      <c r="T64" s="36"/>
    </row>
    <row r="65" spans="2:20">
      <c r="B65" s="376"/>
      <c r="C65" s="376"/>
      <c r="D65" s="467"/>
      <c r="E65" s="467"/>
      <c r="F65" s="468"/>
      <c r="G65" s="468"/>
      <c r="T65" s="36"/>
    </row>
    <row r="66" spans="2:20">
      <c r="B66" s="376"/>
      <c r="C66" s="376"/>
      <c r="D66" s="467"/>
      <c r="E66" s="467"/>
      <c r="F66" s="467"/>
      <c r="G66" s="467"/>
      <c r="T66" s="36"/>
    </row>
    <row r="67" spans="2:20">
      <c r="B67" s="376"/>
      <c r="C67" s="376"/>
      <c r="D67" s="467"/>
      <c r="E67" s="467"/>
      <c r="F67" s="467"/>
      <c r="G67" s="467"/>
      <c r="T67" s="36"/>
    </row>
    <row r="68" spans="2:20">
      <c r="B68" s="376"/>
      <c r="C68" s="376"/>
      <c r="D68" s="467"/>
      <c r="E68" s="467"/>
      <c r="F68" s="468"/>
      <c r="G68" s="468"/>
      <c r="T68" s="36"/>
    </row>
    <row r="69" spans="2:20">
      <c r="B69" s="376"/>
      <c r="C69" s="376"/>
      <c r="D69" s="467"/>
      <c r="E69" s="467"/>
      <c r="F69" s="468"/>
      <c r="G69" s="468"/>
      <c r="T69" s="36"/>
    </row>
    <row r="70" spans="2:20">
      <c r="B70" s="376"/>
      <c r="C70" s="376"/>
      <c r="D70" s="467"/>
      <c r="E70" s="467"/>
      <c r="F70" s="468"/>
      <c r="G70" s="468"/>
    </row>
    <row r="71" spans="2:20">
      <c r="B71" s="376"/>
      <c r="C71" s="376"/>
      <c r="D71" s="467"/>
      <c r="E71" s="467"/>
      <c r="F71" s="469"/>
      <c r="G71" s="469"/>
    </row>
  </sheetData>
  <mergeCells count="174">
    <mergeCell ref="N1:Q1"/>
    <mergeCell ref="N2:Q2"/>
    <mergeCell ref="N3:Q3"/>
    <mergeCell ref="A5:B5"/>
    <mergeCell ref="C5:H5"/>
    <mergeCell ref="A6:B6"/>
    <mergeCell ref="C6:H6"/>
    <mergeCell ref="A7:B7"/>
    <mergeCell ref="C7:H7"/>
    <mergeCell ref="A8:B8"/>
    <mergeCell ref="C8:L8"/>
    <mergeCell ref="A10:B10"/>
    <mergeCell ref="C10:J10"/>
    <mergeCell ref="K10:Q10"/>
    <mergeCell ref="A11:B11"/>
    <mergeCell ref="C11:J11"/>
    <mergeCell ref="K11:Q11"/>
    <mergeCell ref="A12:B12"/>
    <mergeCell ref="C12:J12"/>
    <mergeCell ref="K12:Q12"/>
    <mergeCell ref="A13:B13"/>
    <mergeCell ref="C13:J13"/>
    <mergeCell ref="K13:Q13"/>
    <mergeCell ref="A15:H15"/>
    <mergeCell ref="J15:Q15"/>
    <mergeCell ref="C16:E16"/>
    <mergeCell ref="F16:H16"/>
    <mergeCell ref="J16:M16"/>
    <mergeCell ref="N16:Q16"/>
    <mergeCell ref="C17:H17"/>
    <mergeCell ref="C18:E18"/>
    <mergeCell ref="F18:H18"/>
    <mergeCell ref="C19:D19"/>
    <mergeCell ref="C20:D20"/>
    <mergeCell ref="J20:Q20"/>
    <mergeCell ref="C21:D21"/>
    <mergeCell ref="J21:M21"/>
    <mergeCell ref="N21:Q21"/>
    <mergeCell ref="K32:L32"/>
    <mergeCell ref="B33:C33"/>
    <mergeCell ref="K33:L33"/>
    <mergeCell ref="B34:C34"/>
    <mergeCell ref="K34:L34"/>
    <mergeCell ref="B35:C35"/>
    <mergeCell ref="B36:C36"/>
    <mergeCell ref="B37:C37"/>
    <mergeCell ref="C22:D22"/>
    <mergeCell ref="C23:D23"/>
    <mergeCell ref="D27:E27"/>
    <mergeCell ref="G27:H27"/>
    <mergeCell ref="E28:F28"/>
    <mergeCell ref="J24:Q24"/>
    <mergeCell ref="J25:M25"/>
    <mergeCell ref="N25:Q25"/>
    <mergeCell ref="J26:M27"/>
    <mergeCell ref="N26:Q27"/>
    <mergeCell ref="N28:O28"/>
    <mergeCell ref="B30:C30"/>
    <mergeCell ref="K30:L30"/>
    <mergeCell ref="B31:C31"/>
    <mergeCell ref="K31:L31"/>
    <mergeCell ref="B32:C32"/>
    <mergeCell ref="B44:C44"/>
    <mergeCell ref="K43:M43"/>
    <mergeCell ref="N43:O43"/>
    <mergeCell ref="P43:Q43"/>
    <mergeCell ref="B38:C38"/>
    <mergeCell ref="B39:C39"/>
    <mergeCell ref="K39:M39"/>
    <mergeCell ref="N39:O39"/>
    <mergeCell ref="P39:Q39"/>
    <mergeCell ref="B40:C40"/>
    <mergeCell ref="K40:M40"/>
    <mergeCell ref="N40:O40"/>
    <mergeCell ref="P40:Q40"/>
    <mergeCell ref="B41:C41"/>
    <mergeCell ref="K41:M41"/>
    <mergeCell ref="N41:O41"/>
    <mergeCell ref="B42:C42"/>
    <mergeCell ref="P41:Q41"/>
    <mergeCell ref="B43:C43"/>
    <mergeCell ref="K42:M42"/>
    <mergeCell ref="N42:O42"/>
    <mergeCell ref="P42:Q42"/>
    <mergeCell ref="B45:C45"/>
    <mergeCell ref="K44:M44"/>
    <mergeCell ref="N44:O44"/>
    <mergeCell ref="J55:M56"/>
    <mergeCell ref="N55:Q56"/>
    <mergeCell ref="A57:D59"/>
    <mergeCell ref="E57:H59"/>
    <mergeCell ref="J57:M59"/>
    <mergeCell ref="N57:Q59"/>
    <mergeCell ref="J46:L47"/>
    <mergeCell ref="N46:O47"/>
    <mergeCell ref="P46:Q47"/>
    <mergeCell ref="J48:L49"/>
    <mergeCell ref="N48:O49"/>
    <mergeCell ref="P48:Q49"/>
    <mergeCell ref="N50:O51"/>
    <mergeCell ref="P50:Q51"/>
    <mergeCell ref="N52:O53"/>
    <mergeCell ref="P44:Q44"/>
    <mergeCell ref="B46:C46"/>
    <mergeCell ref="B47:C47"/>
    <mergeCell ref="B48:C48"/>
    <mergeCell ref="B49:C49"/>
    <mergeCell ref="B50:C50"/>
    <mergeCell ref="F64:G64"/>
    <mergeCell ref="B65:C65"/>
    <mergeCell ref="D65:E65"/>
    <mergeCell ref="F65:G65"/>
    <mergeCell ref="A55:H55"/>
    <mergeCell ref="A56:D56"/>
    <mergeCell ref="E56:H56"/>
    <mergeCell ref="D62:E62"/>
    <mergeCell ref="F62:G62"/>
    <mergeCell ref="B63:C63"/>
    <mergeCell ref="D63:E63"/>
    <mergeCell ref="F63:G63"/>
    <mergeCell ref="B64:C64"/>
    <mergeCell ref="D64:E64"/>
    <mergeCell ref="B69:C69"/>
    <mergeCell ref="D69:E69"/>
    <mergeCell ref="F69:G69"/>
    <mergeCell ref="B70:C70"/>
    <mergeCell ref="D70:E70"/>
    <mergeCell ref="F70:G70"/>
    <mergeCell ref="B71:C71"/>
    <mergeCell ref="D71:E71"/>
    <mergeCell ref="F71:G71"/>
    <mergeCell ref="B66:C66"/>
    <mergeCell ref="D66:E66"/>
    <mergeCell ref="F66:G66"/>
    <mergeCell ref="B67:C67"/>
    <mergeCell ref="D67:E67"/>
    <mergeCell ref="F67:G67"/>
    <mergeCell ref="B68:C68"/>
    <mergeCell ref="D68:E68"/>
    <mergeCell ref="F68:G68"/>
    <mergeCell ref="B54:C54"/>
    <mergeCell ref="N35:N37"/>
    <mergeCell ref="O35:O37"/>
    <mergeCell ref="P28:P29"/>
    <mergeCell ref="P35:P37"/>
    <mergeCell ref="Q28:Q29"/>
    <mergeCell ref="Q35:Q37"/>
    <mergeCell ref="A1:B3"/>
    <mergeCell ref="C1:M3"/>
    <mergeCell ref="J17:M18"/>
    <mergeCell ref="N17:Q18"/>
    <mergeCell ref="J22:M23"/>
    <mergeCell ref="N22:Q23"/>
    <mergeCell ref="B28:C29"/>
    <mergeCell ref="K28:L29"/>
    <mergeCell ref="K35:L37"/>
    <mergeCell ref="A28:A29"/>
    <mergeCell ref="D28:D29"/>
    <mergeCell ref="G28:G29"/>
    <mergeCell ref="H28:H29"/>
    <mergeCell ref="J28:J29"/>
    <mergeCell ref="J35:J37"/>
    <mergeCell ref="M28:M29"/>
    <mergeCell ref="M35:M37"/>
    <mergeCell ref="P52:Q53"/>
    <mergeCell ref="J50:L51"/>
    <mergeCell ref="J52:L53"/>
    <mergeCell ref="M50:M51"/>
    <mergeCell ref="M52:M53"/>
    <mergeCell ref="M46:M47"/>
    <mergeCell ref="B51:C51"/>
    <mergeCell ref="B52:C52"/>
    <mergeCell ref="B53:C53"/>
    <mergeCell ref="M48:M49"/>
  </mergeCells>
  <conditionalFormatting sqref="C22:C26">
    <cfRule type="duplicateValues" dxfId="47" priority="7" stopIfTrue="1"/>
    <cfRule type="duplicateValues" dxfId="46" priority="8" stopIfTrue="1"/>
    <cfRule type="duplicateValues" dxfId="45" priority="9" stopIfTrue="1"/>
    <cfRule type="duplicateValues" dxfId="44" priority="10" stopIfTrue="1"/>
    <cfRule type="duplicateValues" dxfId="43" priority="11" stopIfTrue="1"/>
    <cfRule type="duplicateValues" dxfId="42" priority="12" stopIfTrue="1"/>
  </conditionalFormatting>
  <conditionalFormatting sqref="C27">
    <cfRule type="duplicateValues" dxfId="41" priority="1" stopIfTrue="1"/>
    <cfRule type="duplicateValues" dxfId="40" priority="2" stopIfTrue="1"/>
    <cfRule type="duplicateValues" dxfId="39" priority="3" stopIfTrue="1"/>
    <cfRule type="duplicateValues" dxfId="38" priority="4" stopIfTrue="1"/>
    <cfRule type="duplicateValues" dxfId="37" priority="5" stopIfTrue="1"/>
    <cfRule type="duplicateValues" dxfId="36" priority="6" stopIfTrue="1"/>
  </conditionalFormatting>
  <printOptions horizontalCentered="1"/>
  <pageMargins left="0.23622047244094499" right="0.23622047244094499" top="0.74803149606299202" bottom="0.74803149606299202" header="0.31496062992126" footer="0.31496062992126"/>
  <pageSetup paperSize="9" scale="65" orientation="portrait" horizontalDpi="300" verticalDpi="30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00B0F0"/>
    <pageSetUpPr fitToPage="1"/>
  </sheetPr>
  <dimension ref="A1:X76"/>
  <sheetViews>
    <sheetView showGridLines="0" view="pageBreakPreview" zoomScaleNormal="100" zoomScaleSheetLayoutView="100" zoomScalePageLayoutView="85" workbookViewId="0">
      <selection activeCell="D16" sqref="D16:E16"/>
    </sheetView>
  </sheetViews>
  <sheetFormatPr defaultColWidth="8.88671875" defaultRowHeight="13.8"/>
  <cols>
    <col min="1" max="1" width="4" style="26" customWidth="1"/>
    <col min="2" max="2" width="17.5546875" style="26" customWidth="1"/>
    <col min="3" max="3" width="6" style="26" customWidth="1"/>
    <col min="4" max="4" width="22.5546875" style="26" customWidth="1"/>
    <col min="5" max="6" width="10.44140625" style="26" customWidth="1"/>
    <col min="7" max="8" width="10.33203125" style="26" customWidth="1"/>
    <col min="9" max="9" width="1.77734375" style="26" customWidth="1"/>
    <col min="10" max="10" width="10.109375" style="26" customWidth="1"/>
    <col min="11" max="11" width="11.109375" style="26" customWidth="1"/>
    <col min="12" max="12" width="9.88671875" style="26" customWidth="1"/>
    <col min="13" max="13" width="11.88671875" style="26" customWidth="1"/>
    <col min="14" max="14" width="8.88671875" style="26"/>
    <col min="15" max="15" width="9.88671875" style="26" customWidth="1"/>
    <col min="16" max="16" width="50.6640625" style="26" customWidth="1"/>
    <col min="17" max="17" width="35.5546875" style="26" customWidth="1"/>
    <col min="18" max="16384" width="8.88671875" style="26"/>
  </cols>
  <sheetData>
    <row r="1" spans="1:24" ht="19.05" customHeight="1">
      <c r="A1" s="758"/>
      <c r="B1" s="759"/>
      <c r="C1" s="764" t="s">
        <v>139</v>
      </c>
      <c r="D1" s="765"/>
      <c r="E1" s="765"/>
      <c r="F1" s="765"/>
      <c r="G1" s="765"/>
      <c r="H1" s="765"/>
      <c r="I1" s="765"/>
      <c r="J1" s="766"/>
      <c r="K1" s="582" t="s">
        <v>140</v>
      </c>
      <c r="L1" s="583"/>
      <c r="M1" s="584"/>
    </row>
    <row r="2" spans="1:24" ht="19.05" customHeight="1">
      <c r="A2" s="760"/>
      <c r="B2" s="761"/>
      <c r="C2" s="767"/>
      <c r="D2" s="465"/>
      <c r="E2" s="465"/>
      <c r="F2" s="465"/>
      <c r="G2" s="465"/>
      <c r="H2" s="465"/>
      <c r="I2" s="465"/>
      <c r="J2" s="511"/>
      <c r="K2" s="585" t="s">
        <v>87</v>
      </c>
      <c r="L2" s="586"/>
      <c r="M2" s="587"/>
    </row>
    <row r="3" spans="1:24" ht="19.05" customHeight="1">
      <c r="A3" s="762"/>
      <c r="B3" s="763"/>
      <c r="C3" s="768"/>
      <c r="D3" s="769"/>
      <c r="E3" s="769"/>
      <c r="F3" s="769"/>
      <c r="G3" s="769"/>
      <c r="H3" s="769"/>
      <c r="I3" s="769"/>
      <c r="J3" s="770"/>
      <c r="K3" s="588" t="s">
        <v>88</v>
      </c>
      <c r="L3" s="589"/>
      <c r="M3" s="590"/>
    </row>
    <row r="4" spans="1:24" ht="15" customHeight="1">
      <c r="A4" s="34"/>
      <c r="C4" s="82"/>
    </row>
    <row r="5" spans="1:24" ht="15" customHeight="1">
      <c r="A5" s="518" t="s">
        <v>89</v>
      </c>
      <c r="B5" s="518"/>
      <c r="C5" s="581">
        <f>'In 2'!C5</f>
        <v>0</v>
      </c>
      <c r="D5" s="581"/>
      <c r="E5" s="581"/>
      <c r="F5" s="581"/>
      <c r="G5" s="581"/>
      <c r="H5" s="581"/>
      <c r="I5" s="83" t="s">
        <v>3</v>
      </c>
      <c r="J5" s="83"/>
      <c r="K5" s="300">
        <f>'In 2'!K5</f>
        <v>0</v>
      </c>
      <c r="U5" s="26" t="s">
        <v>59</v>
      </c>
      <c r="V5" s="26" t="s">
        <v>60</v>
      </c>
      <c r="W5" s="26" t="s">
        <v>61</v>
      </c>
      <c r="X5" s="26" t="s">
        <v>62</v>
      </c>
    </row>
    <row r="6" spans="1:24" ht="15" customHeight="1">
      <c r="A6" s="521" t="s">
        <v>90</v>
      </c>
      <c r="B6" s="521"/>
      <c r="C6" s="757">
        <f>'In 2'!C6</f>
        <v>0</v>
      </c>
      <c r="D6" s="757"/>
      <c r="E6" s="757"/>
      <c r="F6" s="757"/>
      <c r="G6" s="757"/>
      <c r="H6" s="757"/>
      <c r="I6" s="83" t="s">
        <v>141</v>
      </c>
      <c r="J6" s="83"/>
      <c r="K6" s="36" t="s">
        <v>127</v>
      </c>
    </row>
    <row r="7" spans="1:24" ht="15" customHeight="1">
      <c r="A7" s="521" t="s">
        <v>92</v>
      </c>
      <c r="B7" s="521"/>
      <c r="C7" s="757">
        <f>'In 2'!C7</f>
        <v>0</v>
      </c>
      <c r="D7" s="757"/>
      <c r="E7" s="757"/>
      <c r="F7" s="757"/>
      <c r="G7" s="757"/>
      <c r="H7" s="757"/>
      <c r="I7" s="85" t="s">
        <v>93</v>
      </c>
      <c r="J7" s="85"/>
      <c r="K7" s="86" t="s">
        <v>341</v>
      </c>
    </row>
    <row r="8" spans="1:24" ht="20.399999999999999" customHeight="1">
      <c r="A8" s="521" t="s">
        <v>94</v>
      </c>
      <c r="B8" s="521"/>
      <c r="C8" s="581">
        <f>'In 2'!C8</f>
        <v>0</v>
      </c>
      <c r="D8" s="581"/>
      <c r="E8" s="581"/>
      <c r="F8" s="581"/>
      <c r="G8" s="581"/>
      <c r="H8" s="294"/>
      <c r="I8" s="85" t="s">
        <v>95</v>
      </c>
      <c r="J8" s="85"/>
      <c r="K8" s="86" t="s">
        <v>341</v>
      </c>
    </row>
    <row r="9" spans="1:24" ht="15" customHeight="1" thickBot="1">
      <c r="A9" s="36"/>
      <c r="B9" s="36"/>
      <c r="C9" s="25"/>
      <c r="D9" s="25"/>
      <c r="E9" s="25"/>
      <c r="F9" s="25"/>
      <c r="G9" s="25"/>
      <c r="H9" s="25"/>
      <c r="I9" s="36"/>
      <c r="K9" s="36"/>
    </row>
    <row r="10" spans="1:24" ht="19.05" customHeight="1">
      <c r="A10" s="444"/>
      <c r="B10" s="445"/>
      <c r="C10" s="385" t="s">
        <v>96</v>
      </c>
      <c r="D10" s="385"/>
      <c r="E10" s="385"/>
      <c r="F10" s="385"/>
      <c r="G10" s="385"/>
      <c r="H10" s="385" t="s">
        <v>97</v>
      </c>
      <c r="I10" s="385"/>
      <c r="J10" s="385"/>
      <c r="K10" s="385"/>
      <c r="L10" s="385"/>
      <c r="M10" s="305"/>
    </row>
    <row r="11" spans="1:24" ht="19.05" customHeight="1">
      <c r="A11" s="579" t="s">
        <v>98</v>
      </c>
      <c r="B11" s="331"/>
      <c r="C11" s="366" t="s">
        <v>313</v>
      </c>
      <c r="D11" s="366"/>
      <c r="E11" s="366"/>
      <c r="F11" s="366"/>
      <c r="G11" s="366"/>
      <c r="H11" s="366" t="s">
        <v>313</v>
      </c>
      <c r="I11" s="366"/>
      <c r="J11" s="366"/>
      <c r="K11" s="366"/>
      <c r="L11" s="366"/>
      <c r="M11" s="544"/>
    </row>
    <row r="12" spans="1:24" ht="19.05" customHeight="1">
      <c r="A12" s="579" t="s">
        <v>99</v>
      </c>
      <c r="B12" s="331"/>
      <c r="C12" s="366" t="s">
        <v>100</v>
      </c>
      <c r="D12" s="366"/>
      <c r="E12" s="366"/>
      <c r="F12" s="366"/>
      <c r="G12" s="366"/>
      <c r="H12" s="366" t="s">
        <v>314</v>
      </c>
      <c r="I12" s="366"/>
      <c r="J12" s="366"/>
      <c r="K12" s="366"/>
      <c r="L12" s="366"/>
      <c r="M12" s="544"/>
    </row>
    <row r="13" spans="1:24" ht="19.05" customHeight="1">
      <c r="A13" s="580" t="s">
        <v>101</v>
      </c>
      <c r="B13" s="333"/>
      <c r="C13" s="563"/>
      <c r="D13" s="563"/>
      <c r="E13" s="563"/>
      <c r="F13" s="563"/>
      <c r="G13" s="563"/>
      <c r="H13" s="563"/>
      <c r="I13" s="563"/>
      <c r="J13" s="563"/>
      <c r="K13" s="563"/>
      <c r="L13" s="563"/>
      <c r="M13" s="306"/>
    </row>
    <row r="15" spans="1:24" ht="24" customHeight="1">
      <c r="A15" s="575" t="s">
        <v>128</v>
      </c>
      <c r="B15" s="387"/>
      <c r="C15" s="387"/>
      <c r="D15" s="387"/>
      <c r="E15" s="387"/>
      <c r="F15" s="387"/>
      <c r="G15" s="387"/>
      <c r="H15" s="388"/>
      <c r="J15" s="384" t="s">
        <v>142</v>
      </c>
      <c r="K15" s="385"/>
      <c r="L15" s="385"/>
      <c r="M15" s="305"/>
    </row>
    <row r="16" spans="1:24" ht="18" customHeight="1">
      <c r="A16" s="592" t="s">
        <v>209</v>
      </c>
      <c r="B16" s="593"/>
      <c r="C16" s="593"/>
      <c r="D16" s="824">
        <f>G18+G19</f>
        <v>0</v>
      </c>
      <c r="E16" s="825"/>
      <c r="F16" s="390" t="s">
        <v>49</v>
      </c>
      <c r="G16" s="390"/>
      <c r="H16" s="391"/>
      <c r="J16" s="541" t="s">
        <v>105</v>
      </c>
      <c r="K16" s="542"/>
      <c r="L16" s="542" t="s">
        <v>106</v>
      </c>
      <c r="M16" s="543"/>
    </row>
    <row r="17" spans="1:14" ht="18" customHeight="1">
      <c r="A17" s="89" t="s">
        <v>32</v>
      </c>
      <c r="B17" s="398" t="s">
        <v>33</v>
      </c>
      <c r="C17" s="398"/>
      <c r="D17" s="117" t="s">
        <v>34</v>
      </c>
      <c r="E17" s="90" t="s">
        <v>145</v>
      </c>
      <c r="F17" s="91" t="s">
        <v>6</v>
      </c>
      <c r="G17" s="91" t="s">
        <v>146</v>
      </c>
      <c r="H17" s="92" t="s">
        <v>147</v>
      </c>
      <c r="J17" s="372"/>
      <c r="K17" s="373"/>
      <c r="M17" s="93"/>
    </row>
    <row r="18" spans="1:14" ht="18" customHeight="1">
      <c r="A18" s="54">
        <v>1</v>
      </c>
      <c r="B18" s="418" t="str">
        <f>Dán!C17</f>
        <v>F801C</v>
      </c>
      <c r="C18" s="418"/>
      <c r="D18" s="217" t="str">
        <f>Dán!D17</f>
        <v>NHPPNSF801C001</v>
      </c>
      <c r="E18" s="272">
        <v>0.5</v>
      </c>
      <c r="F18" s="230" t="s">
        <v>49</v>
      </c>
      <c r="G18" s="230">
        <f>Dán!G17</f>
        <v>0</v>
      </c>
      <c r="H18" s="92"/>
      <c r="J18" s="539"/>
      <c r="K18" s="540"/>
      <c r="L18" s="97"/>
      <c r="M18" s="98"/>
    </row>
    <row r="19" spans="1:14" ht="18" customHeight="1">
      <c r="A19" s="54">
        <v>2</v>
      </c>
      <c r="B19" s="418" t="str">
        <f>Dán!C18</f>
        <v>Vistamaxx</v>
      </c>
      <c r="C19" s="418"/>
      <c r="D19" s="217" t="str">
        <f>Dán!D18</f>
        <v>NHVITAMAX0001</v>
      </c>
      <c r="E19" s="272">
        <v>0.5</v>
      </c>
      <c r="F19" s="230" t="s">
        <v>49</v>
      </c>
      <c r="G19" s="230">
        <f>Dán!G18</f>
        <v>0</v>
      </c>
      <c r="H19" s="96"/>
    </row>
    <row r="20" spans="1:14" ht="18" customHeight="1">
      <c r="A20" s="54">
        <v>3</v>
      </c>
      <c r="B20" s="352" t="str">
        <f>Dán!C19</f>
        <v>Keo Acrylic</v>
      </c>
      <c r="C20" s="352"/>
      <c r="D20" s="217" t="str">
        <f>Dán!D19</f>
        <v>PKACRYLIC0001</v>
      </c>
      <c r="E20" s="272"/>
      <c r="F20" s="229"/>
      <c r="G20" s="230"/>
      <c r="H20" s="96"/>
      <c r="J20" s="384" t="s">
        <v>149</v>
      </c>
      <c r="K20" s="385"/>
      <c r="L20" s="385"/>
      <c r="M20" s="305"/>
    </row>
    <row r="21" spans="1:14" ht="18" customHeight="1">
      <c r="A21" s="54">
        <v>4</v>
      </c>
      <c r="B21" s="528"/>
      <c r="C21" s="528"/>
      <c r="D21" s="45"/>
      <c r="E21" s="94"/>
      <c r="F21" s="99"/>
      <c r="G21" s="95"/>
      <c r="H21" s="30"/>
      <c r="J21" s="541" t="s">
        <v>105</v>
      </c>
      <c r="K21" s="542"/>
      <c r="L21" s="542" t="s">
        <v>106</v>
      </c>
      <c r="M21" s="543"/>
    </row>
    <row r="22" spans="1:14" ht="18" customHeight="1">
      <c r="A22" s="54">
        <v>5</v>
      </c>
      <c r="B22" s="528"/>
      <c r="C22" s="528"/>
      <c r="D22" s="45"/>
      <c r="E22" s="94"/>
      <c r="F22" s="99"/>
      <c r="G22" s="95"/>
      <c r="H22" s="30"/>
      <c r="J22" s="372"/>
      <c r="K22" s="373"/>
      <c r="M22" s="93"/>
    </row>
    <row r="23" spans="1:14" ht="18" customHeight="1" thickBot="1">
      <c r="A23" s="70">
        <v>6</v>
      </c>
      <c r="B23" s="530"/>
      <c r="C23" s="530"/>
      <c r="D23" s="103"/>
      <c r="E23" s="101"/>
      <c r="F23" s="102"/>
      <c r="G23" s="103"/>
      <c r="H23" s="32"/>
      <c r="J23" s="539"/>
      <c r="K23" s="540"/>
      <c r="L23" s="97"/>
      <c r="M23" s="98"/>
    </row>
    <row r="24" spans="1:14" ht="18" customHeight="1">
      <c r="A24" s="34"/>
      <c r="B24" s="24"/>
      <c r="C24" s="24"/>
      <c r="E24" s="35"/>
      <c r="F24" s="104"/>
      <c r="J24" s="384" t="s">
        <v>330</v>
      </c>
      <c r="K24" s="385"/>
      <c r="L24" s="385"/>
      <c r="M24" s="305"/>
    </row>
    <row r="25" spans="1:14" ht="18" customHeight="1">
      <c r="A25" s="34"/>
      <c r="B25" s="24"/>
      <c r="C25" s="24"/>
      <c r="E25" s="35"/>
      <c r="F25" s="104"/>
      <c r="J25" s="541" t="s">
        <v>105</v>
      </c>
      <c r="K25" s="542"/>
      <c r="L25" s="542" t="s">
        <v>106</v>
      </c>
      <c r="M25" s="543"/>
    </row>
    <row r="26" spans="1:14" ht="18" customHeight="1">
      <c r="A26" s="34"/>
      <c r="B26" s="24"/>
      <c r="C26" s="24"/>
      <c r="E26" s="35"/>
      <c r="F26" s="104"/>
      <c r="J26" s="372"/>
      <c r="K26" s="373"/>
      <c r="M26" s="93"/>
    </row>
    <row r="27" spans="1:14" ht="18" customHeight="1" thickBot="1">
      <c r="B27" s="25"/>
      <c r="C27" s="36"/>
      <c r="D27" s="395"/>
      <c r="E27" s="395"/>
      <c r="F27" s="104"/>
      <c r="G27" s="423"/>
      <c r="H27" s="423"/>
      <c r="J27" s="539"/>
      <c r="K27" s="540"/>
      <c r="L27" s="97"/>
      <c r="M27" s="98"/>
    </row>
    <row r="28" spans="1:14" ht="18" customHeight="1">
      <c r="A28" s="384" t="s">
        <v>32</v>
      </c>
      <c r="B28" s="385" t="s">
        <v>152</v>
      </c>
      <c r="C28" s="385"/>
      <c r="D28" s="320" t="s">
        <v>153</v>
      </c>
      <c r="E28" s="492" t="s">
        <v>154</v>
      </c>
      <c r="F28" s="492"/>
      <c r="G28" s="385" t="s">
        <v>35</v>
      </c>
      <c r="H28" s="305" t="s">
        <v>106</v>
      </c>
      <c r="J28" s="105" t="s">
        <v>32</v>
      </c>
      <c r="K28" s="106" t="s">
        <v>114</v>
      </c>
      <c r="L28" s="107" t="s">
        <v>150</v>
      </c>
      <c r="M28" s="108" t="s">
        <v>151</v>
      </c>
      <c r="N28" s="109"/>
    </row>
    <row r="29" spans="1:14" ht="18" customHeight="1">
      <c r="A29" s="541"/>
      <c r="B29" s="542"/>
      <c r="C29" s="542"/>
      <c r="D29" s="398"/>
      <c r="E29" s="90" t="s">
        <v>159</v>
      </c>
      <c r="F29" s="90" t="s">
        <v>159</v>
      </c>
      <c r="G29" s="542"/>
      <c r="H29" s="543"/>
      <c r="J29" s="54">
        <v>1</v>
      </c>
      <c r="K29" s="29"/>
      <c r="L29" s="29"/>
      <c r="M29" s="30"/>
      <c r="N29" s="109"/>
    </row>
    <row r="30" spans="1:14" ht="19.95" customHeight="1">
      <c r="A30" s="54">
        <v>1</v>
      </c>
      <c r="B30" s="716" t="s">
        <v>210</v>
      </c>
      <c r="C30" s="447"/>
      <c r="D30" s="215"/>
      <c r="E30" s="61"/>
      <c r="F30" s="140"/>
      <c r="G30" s="29" t="s">
        <v>173</v>
      </c>
      <c r="H30" s="30"/>
      <c r="J30" s="54">
        <v>2</v>
      </c>
      <c r="K30" s="29"/>
      <c r="L30" s="29"/>
      <c r="M30" s="30"/>
      <c r="N30" s="110"/>
    </row>
    <row r="31" spans="1:14" ht="19.95" customHeight="1">
      <c r="A31" s="54">
        <v>2</v>
      </c>
      <c r="B31" s="716" t="s">
        <v>251</v>
      </c>
      <c r="C31" s="447"/>
      <c r="D31" s="215"/>
      <c r="E31" s="61"/>
      <c r="F31" s="140"/>
      <c r="G31" s="29" t="s">
        <v>170</v>
      </c>
      <c r="H31" s="30"/>
      <c r="J31" s="54">
        <v>3</v>
      </c>
      <c r="K31" s="29"/>
      <c r="L31" s="29"/>
      <c r="M31" s="30"/>
      <c r="N31" s="110"/>
    </row>
    <row r="32" spans="1:14" ht="19.95" customHeight="1">
      <c r="A32" s="54">
        <v>3</v>
      </c>
      <c r="B32" s="716" t="s">
        <v>252</v>
      </c>
      <c r="C32" s="447"/>
      <c r="D32" s="215"/>
      <c r="E32" s="61"/>
      <c r="F32" s="140"/>
      <c r="G32" s="29" t="s">
        <v>108</v>
      </c>
      <c r="H32" s="30"/>
      <c r="J32" s="54">
        <v>4</v>
      </c>
      <c r="K32" s="29"/>
      <c r="L32" s="29"/>
      <c r="M32" s="30"/>
      <c r="N32" s="110"/>
    </row>
    <row r="33" spans="1:20" ht="19.95" customHeight="1">
      <c r="A33" s="54">
        <v>4</v>
      </c>
      <c r="B33" s="716" t="s">
        <v>253</v>
      </c>
      <c r="C33" s="447"/>
      <c r="D33" s="215"/>
      <c r="E33" s="61"/>
      <c r="F33" s="141"/>
      <c r="G33" s="29" t="s">
        <v>164</v>
      </c>
      <c r="H33" s="30"/>
      <c r="J33" s="70">
        <v>5</v>
      </c>
      <c r="K33" s="31"/>
      <c r="L33" s="31"/>
      <c r="M33" s="69"/>
      <c r="N33" s="110"/>
    </row>
    <row r="34" spans="1:20" ht="19.95" customHeight="1">
      <c r="A34" s="54">
        <v>5</v>
      </c>
      <c r="B34" s="716" t="s">
        <v>254</v>
      </c>
      <c r="C34" s="447"/>
      <c r="D34" s="215"/>
      <c r="E34" s="61"/>
      <c r="F34" s="141"/>
      <c r="G34" s="29" t="s">
        <v>108</v>
      </c>
      <c r="H34" s="30"/>
      <c r="J34" s="83"/>
      <c r="K34" s="27"/>
      <c r="L34" s="83"/>
      <c r="M34" s="83"/>
      <c r="N34" s="109"/>
    </row>
    <row r="35" spans="1:20" ht="19.95" customHeight="1">
      <c r="A35" s="54">
        <v>6</v>
      </c>
      <c r="B35" s="716" t="s">
        <v>255</v>
      </c>
      <c r="C35" s="447"/>
      <c r="D35" s="46">
        <v>7</v>
      </c>
      <c r="E35" s="61"/>
      <c r="F35" s="140"/>
      <c r="G35" s="29" t="s">
        <v>256</v>
      </c>
      <c r="H35" s="30"/>
      <c r="J35" s="384" t="s">
        <v>155</v>
      </c>
      <c r="K35" s="320" t="s">
        <v>156</v>
      </c>
      <c r="L35" s="385" t="s">
        <v>157</v>
      </c>
      <c r="M35" s="305" t="s">
        <v>158</v>
      </c>
      <c r="N35" s="110"/>
    </row>
    <row r="36" spans="1:20" ht="19.95" customHeight="1">
      <c r="A36" s="54">
        <v>7</v>
      </c>
      <c r="B36" s="716" t="s">
        <v>257</v>
      </c>
      <c r="C36" s="447"/>
      <c r="D36" s="215"/>
      <c r="E36" s="61"/>
      <c r="F36" s="140"/>
      <c r="G36" s="29" t="s">
        <v>108</v>
      </c>
      <c r="H36" s="30"/>
      <c r="J36" s="541"/>
      <c r="K36" s="398"/>
      <c r="L36" s="542"/>
      <c r="M36" s="543"/>
      <c r="N36" s="110"/>
    </row>
    <row r="37" spans="1:20" ht="19.95" customHeight="1">
      <c r="A37" s="54">
        <v>8</v>
      </c>
      <c r="B37" s="716" t="s">
        <v>258</v>
      </c>
      <c r="C37" s="447"/>
      <c r="D37" s="215"/>
      <c r="E37" s="61"/>
      <c r="F37" s="140"/>
      <c r="G37" s="29" t="s">
        <v>108</v>
      </c>
      <c r="H37" s="30"/>
      <c r="J37" s="365"/>
      <c r="K37" s="366"/>
      <c r="L37" s="366"/>
      <c r="M37" s="544"/>
      <c r="N37" s="110"/>
    </row>
    <row r="38" spans="1:20" ht="19.95" customHeight="1">
      <c r="A38" s="54">
        <v>9</v>
      </c>
      <c r="B38" s="716" t="s">
        <v>259</v>
      </c>
      <c r="C38" s="447"/>
      <c r="D38" s="46" t="s">
        <v>260</v>
      </c>
      <c r="E38" s="61"/>
      <c r="F38" s="140"/>
      <c r="G38" s="29" t="s">
        <v>219</v>
      </c>
      <c r="H38" s="30"/>
      <c r="J38" s="365"/>
      <c r="K38" s="366"/>
      <c r="L38" s="366"/>
      <c r="M38" s="544"/>
      <c r="N38" s="110"/>
    </row>
    <row r="39" spans="1:20" ht="19.95" customHeight="1">
      <c r="A39" s="54">
        <v>10</v>
      </c>
      <c r="B39" s="716" t="s">
        <v>261</v>
      </c>
      <c r="C39" s="447"/>
      <c r="D39" s="46" t="s">
        <v>262</v>
      </c>
      <c r="E39" s="61"/>
      <c r="F39" s="140"/>
      <c r="G39" s="29" t="s">
        <v>219</v>
      </c>
      <c r="H39" s="30"/>
      <c r="J39" s="365"/>
      <c r="K39" s="366"/>
      <c r="L39" s="366"/>
      <c r="M39" s="544"/>
      <c r="N39" s="110"/>
    </row>
    <row r="40" spans="1:20" ht="19.95" customHeight="1">
      <c r="A40" s="54">
        <v>11</v>
      </c>
      <c r="B40" s="716" t="s">
        <v>263</v>
      </c>
      <c r="C40" s="447"/>
      <c r="D40" s="46" t="s">
        <v>264</v>
      </c>
      <c r="E40" s="61"/>
      <c r="F40" s="140"/>
      <c r="G40" s="29" t="s">
        <v>219</v>
      </c>
      <c r="H40" s="30"/>
      <c r="J40" s="365"/>
      <c r="K40" s="366"/>
      <c r="L40" s="366"/>
      <c r="M40" s="544"/>
      <c r="N40" s="110"/>
    </row>
    <row r="41" spans="1:20" ht="19.95" customHeight="1">
      <c r="A41" s="70">
        <v>12</v>
      </c>
      <c r="B41" s="751" t="s">
        <v>265</v>
      </c>
      <c r="C41" s="448"/>
      <c r="D41" s="142" t="s">
        <v>264</v>
      </c>
      <c r="E41" s="100"/>
      <c r="F41" s="124"/>
      <c r="G41" s="31" t="s">
        <v>219</v>
      </c>
      <c r="H41" s="69"/>
      <c r="J41" s="365"/>
      <c r="K41" s="366"/>
      <c r="L41" s="366"/>
      <c r="M41" s="544"/>
      <c r="N41" s="110"/>
    </row>
    <row r="42" spans="1:20" ht="19.95" customHeight="1">
      <c r="A42" s="34"/>
      <c r="B42" s="376"/>
      <c r="C42" s="376"/>
      <c r="D42" s="24"/>
      <c r="E42" s="25"/>
      <c r="F42" s="143"/>
      <c r="G42" s="34"/>
      <c r="H42" s="34"/>
      <c r="J42" s="365"/>
      <c r="K42" s="366"/>
      <c r="L42" s="366"/>
      <c r="M42" s="544"/>
      <c r="N42" s="110"/>
    </row>
    <row r="43" spans="1:20" ht="19.95" customHeight="1">
      <c r="A43" s="384" t="s">
        <v>32</v>
      </c>
      <c r="B43" s="385" t="s">
        <v>181</v>
      </c>
      <c r="C43" s="385"/>
      <c r="D43" s="320" t="s">
        <v>153</v>
      </c>
      <c r="E43" s="492" t="s">
        <v>154</v>
      </c>
      <c r="F43" s="492"/>
      <c r="G43" s="385" t="s">
        <v>35</v>
      </c>
      <c r="H43" s="305" t="s">
        <v>106</v>
      </c>
      <c r="J43" s="541"/>
      <c r="K43" s="542"/>
      <c r="L43" s="542"/>
      <c r="M43" s="543"/>
      <c r="N43" s="110"/>
    </row>
    <row r="44" spans="1:20" ht="19.95" customHeight="1">
      <c r="A44" s="541"/>
      <c r="B44" s="542"/>
      <c r="C44" s="542"/>
      <c r="D44" s="398"/>
      <c r="E44" s="90" t="s">
        <v>159</v>
      </c>
      <c r="F44" s="90" t="s">
        <v>159</v>
      </c>
      <c r="G44" s="542"/>
      <c r="H44" s="543"/>
      <c r="J44" s="541"/>
      <c r="K44" s="542"/>
      <c r="L44" s="542"/>
      <c r="M44" s="543"/>
      <c r="N44" s="110"/>
    </row>
    <row r="45" spans="1:20" ht="19.95" customHeight="1">
      <c r="A45" s="54">
        <v>1</v>
      </c>
      <c r="B45" s="331" t="s">
        <v>266</v>
      </c>
      <c r="C45" s="331"/>
      <c r="D45" s="215"/>
      <c r="E45" s="61"/>
      <c r="F45" s="140"/>
      <c r="G45" s="29" t="s">
        <v>108</v>
      </c>
      <c r="H45" s="30"/>
      <c r="J45" s="541"/>
      <c r="K45" s="542"/>
      <c r="L45" s="542"/>
      <c r="M45" s="543"/>
      <c r="N45" s="110"/>
      <c r="P45" s="34"/>
      <c r="Q45" s="34"/>
    </row>
    <row r="46" spans="1:20" ht="19.95" customHeight="1">
      <c r="A46" s="54">
        <v>2</v>
      </c>
      <c r="B46" s="331" t="s">
        <v>267</v>
      </c>
      <c r="C46" s="331"/>
      <c r="D46" s="215"/>
      <c r="E46" s="61"/>
      <c r="F46" s="140"/>
      <c r="G46" s="29" t="s">
        <v>108</v>
      </c>
      <c r="H46" s="30"/>
      <c r="J46" s="750"/>
      <c r="K46" s="563"/>
      <c r="L46" s="563"/>
      <c r="M46" s="306"/>
      <c r="N46" s="110"/>
      <c r="P46" s="34"/>
      <c r="Q46" s="34"/>
    </row>
    <row r="47" spans="1:20" ht="19.95" customHeight="1">
      <c r="A47" s="54">
        <v>3</v>
      </c>
      <c r="B47" s="331" t="s">
        <v>268</v>
      </c>
      <c r="C47" s="331"/>
      <c r="D47" s="215"/>
      <c r="E47" s="61"/>
      <c r="F47" s="140"/>
      <c r="G47" s="29" t="s">
        <v>108</v>
      </c>
      <c r="H47" s="30"/>
      <c r="J47" s="83"/>
      <c r="K47" s="83"/>
      <c r="L47" s="83"/>
      <c r="M47" s="83"/>
      <c r="N47" s="110"/>
      <c r="O47" s="331" t="s">
        <v>269</v>
      </c>
      <c r="P47" s="331"/>
      <c r="Q47" s="46" t="s">
        <v>270</v>
      </c>
      <c r="R47" s="61"/>
      <c r="S47" s="140"/>
      <c r="T47" s="29" t="s">
        <v>108</v>
      </c>
    </row>
    <row r="48" spans="1:20" ht="19.95" customHeight="1">
      <c r="A48" s="54">
        <v>4</v>
      </c>
      <c r="B48" s="331" t="s">
        <v>211</v>
      </c>
      <c r="C48" s="331"/>
      <c r="D48" s="144" t="s">
        <v>212</v>
      </c>
      <c r="E48" s="61"/>
      <c r="F48" s="140"/>
      <c r="G48" s="29" t="s">
        <v>108</v>
      </c>
      <c r="H48" s="30"/>
      <c r="J48" s="384" t="s">
        <v>116</v>
      </c>
      <c r="K48" s="385"/>
      <c r="L48" s="385"/>
      <c r="M48" s="305"/>
      <c r="N48" s="110"/>
      <c r="P48" s="34"/>
      <c r="Q48" s="34"/>
    </row>
    <row r="49" spans="1:17" ht="19.95" customHeight="1">
      <c r="A49" s="54">
        <v>5</v>
      </c>
      <c r="B49" s="331" t="s">
        <v>271</v>
      </c>
      <c r="C49" s="331"/>
      <c r="D49" s="46" t="s">
        <v>272</v>
      </c>
      <c r="E49" s="61"/>
      <c r="F49" s="140"/>
      <c r="G49" s="29" t="s">
        <v>108</v>
      </c>
      <c r="H49" s="30"/>
      <c r="J49" s="503"/>
      <c r="K49" s="463"/>
      <c r="L49" s="463"/>
      <c r="M49" s="533"/>
      <c r="N49" s="110"/>
      <c r="P49" s="34"/>
      <c r="Q49" s="34"/>
    </row>
    <row r="50" spans="1:17" ht="19.95" customHeight="1">
      <c r="A50" s="54">
        <v>6</v>
      </c>
      <c r="B50" s="331" t="s">
        <v>273</v>
      </c>
      <c r="C50" s="331"/>
      <c r="D50" s="46" t="s">
        <v>322</v>
      </c>
      <c r="E50" s="61"/>
      <c r="F50" s="140"/>
      <c r="G50" s="29" t="s">
        <v>108</v>
      </c>
      <c r="H50" s="30"/>
      <c r="J50" s="744"/>
      <c r="K50" s="745"/>
      <c r="L50" s="745"/>
      <c r="M50" s="746"/>
      <c r="N50" s="110"/>
      <c r="P50" s="34"/>
      <c r="Q50" s="34"/>
    </row>
    <row r="51" spans="1:17" ht="19.95" customHeight="1">
      <c r="A51" s="734">
        <v>7</v>
      </c>
      <c r="B51" s="739" t="s">
        <v>274</v>
      </c>
      <c r="C51" s="740"/>
      <c r="D51" s="771" t="s">
        <v>323</v>
      </c>
      <c r="E51" s="819"/>
      <c r="F51" s="822"/>
      <c r="G51" s="311" t="s">
        <v>108</v>
      </c>
      <c r="H51" s="303"/>
      <c r="J51" s="744"/>
      <c r="K51" s="745"/>
      <c r="L51" s="745"/>
      <c r="M51" s="746"/>
      <c r="N51" s="110"/>
      <c r="P51" s="34"/>
      <c r="Q51" s="34"/>
    </row>
    <row r="52" spans="1:17" ht="19.95" customHeight="1">
      <c r="A52" s="815"/>
      <c r="B52" s="817"/>
      <c r="C52" s="818"/>
      <c r="D52" s="330"/>
      <c r="E52" s="820"/>
      <c r="F52" s="822"/>
      <c r="G52" s="312"/>
      <c r="H52" s="304"/>
      <c r="J52" s="744"/>
      <c r="K52" s="745"/>
      <c r="L52" s="745"/>
      <c r="M52" s="746"/>
      <c r="N52" s="110"/>
      <c r="P52" s="34"/>
      <c r="Q52" s="34"/>
    </row>
    <row r="53" spans="1:17" ht="19.95" customHeight="1">
      <c r="A53" s="54">
        <v>8</v>
      </c>
      <c r="B53" s="331" t="s">
        <v>269</v>
      </c>
      <c r="C53" s="331"/>
      <c r="D53" s="46" t="s">
        <v>324</v>
      </c>
      <c r="E53" s="61"/>
      <c r="F53" s="140"/>
      <c r="G53" s="29" t="s">
        <v>108</v>
      </c>
      <c r="H53" s="30"/>
      <c r="J53" s="744"/>
      <c r="K53" s="745"/>
      <c r="L53" s="745"/>
      <c r="M53" s="746"/>
      <c r="N53" s="110"/>
      <c r="P53" s="34"/>
      <c r="Q53" s="34"/>
    </row>
    <row r="54" spans="1:17" ht="19.95" customHeight="1">
      <c r="A54" s="734">
        <v>9</v>
      </c>
      <c r="B54" s="739" t="s">
        <v>275</v>
      </c>
      <c r="C54" s="740"/>
      <c r="D54" s="717" t="s">
        <v>276</v>
      </c>
      <c r="E54" s="720"/>
      <c r="F54" s="720"/>
      <c r="G54" s="720"/>
      <c r="H54" s="736"/>
      <c r="J54" s="744"/>
      <c r="K54" s="745"/>
      <c r="L54" s="745"/>
      <c r="M54" s="746"/>
      <c r="N54" s="110"/>
      <c r="P54" s="34"/>
      <c r="Q54" s="34"/>
    </row>
    <row r="55" spans="1:17" ht="19.95" customHeight="1">
      <c r="A55" s="815"/>
      <c r="B55" s="817"/>
      <c r="C55" s="818"/>
      <c r="D55" s="816"/>
      <c r="E55" s="821"/>
      <c r="F55" s="821"/>
      <c r="G55" s="821"/>
      <c r="H55" s="823"/>
      <c r="J55" s="744"/>
      <c r="K55" s="745"/>
      <c r="L55" s="745"/>
      <c r="M55" s="746"/>
      <c r="N55" s="110"/>
      <c r="P55" s="34"/>
      <c r="Q55" s="34"/>
    </row>
    <row r="56" spans="1:17" ht="19.95" customHeight="1">
      <c r="A56" s="734">
        <v>10</v>
      </c>
      <c r="B56" s="739" t="s">
        <v>187</v>
      </c>
      <c r="C56" s="740"/>
      <c r="D56" s="717" t="s">
        <v>277</v>
      </c>
      <c r="E56" s="720"/>
      <c r="F56" s="720"/>
      <c r="G56" s="720"/>
      <c r="H56" s="736"/>
      <c r="J56" s="744"/>
      <c r="K56" s="745"/>
      <c r="L56" s="745"/>
      <c r="M56" s="746"/>
      <c r="N56" s="110"/>
      <c r="P56" s="34"/>
      <c r="Q56" s="34"/>
    </row>
    <row r="57" spans="1:17" ht="19.95" customHeight="1">
      <c r="A57" s="732"/>
      <c r="B57" s="741"/>
      <c r="C57" s="452"/>
      <c r="D57" s="718"/>
      <c r="E57" s="721"/>
      <c r="F57" s="721"/>
      <c r="G57" s="721"/>
      <c r="H57" s="737"/>
      <c r="J57" s="744"/>
      <c r="K57" s="745"/>
      <c r="L57" s="745"/>
      <c r="M57" s="746"/>
      <c r="N57" s="110"/>
      <c r="P57" s="34"/>
      <c r="Q57" s="34"/>
    </row>
    <row r="58" spans="1:17" ht="19.95" customHeight="1">
      <c r="A58" s="733"/>
      <c r="B58" s="742"/>
      <c r="C58" s="743"/>
      <c r="D58" s="719"/>
      <c r="E58" s="722"/>
      <c r="F58" s="722"/>
      <c r="G58" s="722"/>
      <c r="H58" s="738"/>
      <c r="J58" s="747"/>
      <c r="K58" s="748"/>
      <c r="L58" s="748"/>
      <c r="M58" s="749"/>
      <c r="N58" s="110"/>
      <c r="P58" s="34"/>
      <c r="Q58" s="34"/>
    </row>
    <row r="59" spans="1:17" ht="18" customHeight="1">
      <c r="B59" s="115"/>
      <c r="C59" s="116"/>
      <c r="D59" s="116"/>
      <c r="E59" s="116"/>
      <c r="F59" s="116"/>
      <c r="G59" s="116"/>
      <c r="H59" s="116"/>
      <c r="N59" s="110"/>
      <c r="P59" s="34"/>
      <c r="Q59" s="34"/>
    </row>
    <row r="60" spans="1:17" ht="18" customHeight="1">
      <c r="A60" s="764" t="s">
        <v>278</v>
      </c>
      <c r="B60" s="487"/>
      <c r="C60" s="487"/>
      <c r="D60" s="488"/>
      <c r="E60" s="496" t="s">
        <v>279</v>
      </c>
      <c r="F60" s="487"/>
      <c r="G60" s="487"/>
      <c r="H60" s="497"/>
      <c r="I60" s="34"/>
      <c r="J60" s="318" t="s">
        <v>327</v>
      </c>
      <c r="K60" s="320"/>
      <c r="L60" s="320" t="s">
        <v>328</v>
      </c>
      <c r="M60" s="396"/>
    </row>
    <row r="61" spans="1:17" ht="18" customHeight="1">
      <c r="A61" s="489"/>
      <c r="B61" s="490"/>
      <c r="C61" s="490"/>
      <c r="D61" s="491"/>
      <c r="E61" s="498"/>
      <c r="F61" s="490"/>
      <c r="G61" s="490"/>
      <c r="H61" s="499"/>
      <c r="J61" s="397"/>
      <c r="K61" s="398"/>
      <c r="L61" s="398"/>
      <c r="M61" s="399"/>
    </row>
    <row r="62" spans="1:17" ht="18" customHeight="1">
      <c r="A62" s="365"/>
      <c r="B62" s="366"/>
      <c r="C62" s="366"/>
      <c r="D62" s="366"/>
      <c r="E62" s="366"/>
      <c r="F62" s="366"/>
      <c r="G62" s="366"/>
      <c r="H62" s="544"/>
      <c r="J62" s="397"/>
      <c r="K62" s="398"/>
      <c r="L62" s="398"/>
      <c r="M62" s="399"/>
    </row>
    <row r="63" spans="1:17" ht="18" customHeight="1">
      <c r="A63" s="365"/>
      <c r="B63" s="366"/>
      <c r="C63" s="366"/>
      <c r="D63" s="366"/>
      <c r="E63" s="366"/>
      <c r="F63" s="366"/>
      <c r="G63" s="366"/>
      <c r="H63" s="544"/>
      <c r="J63" s="397"/>
      <c r="K63" s="398"/>
      <c r="L63" s="398"/>
      <c r="M63" s="399"/>
    </row>
    <row r="64" spans="1:17" ht="18" customHeight="1">
      <c r="A64" s="349"/>
      <c r="B64" s="350"/>
      <c r="C64" s="350"/>
      <c r="D64" s="350"/>
      <c r="E64" s="350"/>
      <c r="F64" s="350"/>
      <c r="G64" s="350"/>
      <c r="H64" s="545"/>
      <c r="J64" s="400"/>
      <c r="K64" s="401"/>
      <c r="L64" s="401"/>
      <c r="M64" s="402"/>
    </row>
    <row r="67" spans="2:7">
      <c r="D67" s="423"/>
      <c r="E67" s="423"/>
      <c r="F67" s="423"/>
      <c r="G67" s="423"/>
    </row>
    <row r="68" spans="2:7">
      <c r="B68" s="376"/>
      <c r="C68" s="376"/>
      <c r="D68" s="467"/>
      <c r="E68" s="467"/>
      <c r="F68" s="467"/>
      <c r="G68" s="467"/>
    </row>
    <row r="69" spans="2:7">
      <c r="B69" s="376"/>
      <c r="C69" s="376"/>
      <c r="D69" s="467"/>
      <c r="E69" s="467"/>
      <c r="F69" s="470"/>
      <c r="G69" s="470"/>
    </row>
    <row r="70" spans="2:7">
      <c r="B70" s="376"/>
      <c r="C70" s="376"/>
      <c r="D70" s="467"/>
      <c r="E70" s="467"/>
      <c r="F70" s="468"/>
      <c r="G70" s="468"/>
    </row>
    <row r="71" spans="2:7">
      <c r="B71" s="376"/>
      <c r="C71" s="376"/>
      <c r="D71" s="467"/>
      <c r="E71" s="467"/>
      <c r="F71" s="467"/>
      <c r="G71" s="467"/>
    </row>
    <row r="72" spans="2:7">
      <c r="B72" s="376"/>
      <c r="C72" s="376"/>
      <c r="D72" s="467"/>
      <c r="E72" s="467"/>
      <c r="F72" s="467"/>
      <c r="G72" s="467"/>
    </row>
    <row r="73" spans="2:7">
      <c r="B73" s="376"/>
      <c r="C73" s="376"/>
      <c r="D73" s="467"/>
      <c r="E73" s="467"/>
      <c r="F73" s="468"/>
      <c r="G73" s="468"/>
    </row>
    <row r="74" spans="2:7">
      <c r="B74" s="376"/>
      <c r="C74" s="376"/>
      <c r="D74" s="467"/>
      <c r="E74" s="467"/>
      <c r="F74" s="468"/>
      <c r="G74" s="468"/>
    </row>
    <row r="75" spans="2:7">
      <c r="B75" s="376"/>
      <c r="C75" s="376"/>
      <c r="D75" s="467"/>
      <c r="E75" s="467"/>
      <c r="F75" s="468"/>
      <c r="G75" s="468"/>
    </row>
    <row r="76" spans="2:7">
      <c r="B76" s="376"/>
      <c r="C76" s="376"/>
      <c r="D76" s="467"/>
      <c r="E76" s="467"/>
      <c r="F76" s="469"/>
      <c r="G76" s="469"/>
    </row>
  </sheetData>
  <mergeCells count="176">
    <mergeCell ref="K1:M1"/>
    <mergeCell ref="K2:M2"/>
    <mergeCell ref="K3:M3"/>
    <mergeCell ref="A5:B5"/>
    <mergeCell ref="C5:H5"/>
    <mergeCell ref="A6:B6"/>
    <mergeCell ref="C6:H6"/>
    <mergeCell ref="A7:B7"/>
    <mergeCell ref="C7:H7"/>
    <mergeCell ref="A1:B3"/>
    <mergeCell ref="C1:J3"/>
    <mergeCell ref="A8:B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C8:G8"/>
    <mergeCell ref="A13:B13"/>
    <mergeCell ref="C13:G13"/>
    <mergeCell ref="H13:M13"/>
    <mergeCell ref="A15:H15"/>
    <mergeCell ref="J15:M15"/>
    <mergeCell ref="A16:C16"/>
    <mergeCell ref="D16:E16"/>
    <mergeCell ref="F16:H16"/>
    <mergeCell ref="J16:K16"/>
    <mergeCell ref="L16:M16"/>
    <mergeCell ref="B17:C17"/>
    <mergeCell ref="B18:C18"/>
    <mergeCell ref="B19:C19"/>
    <mergeCell ref="B20:C20"/>
    <mergeCell ref="J20:M20"/>
    <mergeCell ref="B21:C21"/>
    <mergeCell ref="J21:K21"/>
    <mergeCell ref="L21:M21"/>
    <mergeCell ref="B22:C22"/>
    <mergeCell ref="J17:K18"/>
    <mergeCell ref="J22:K23"/>
    <mergeCell ref="B23:C23"/>
    <mergeCell ref="D27:E27"/>
    <mergeCell ref="G27:H27"/>
    <mergeCell ref="E28:F28"/>
    <mergeCell ref="B30:C30"/>
    <mergeCell ref="B31:C31"/>
    <mergeCell ref="B32:C32"/>
    <mergeCell ref="B33:C33"/>
    <mergeCell ref="B34:C34"/>
    <mergeCell ref="G28:G29"/>
    <mergeCell ref="H28:H29"/>
    <mergeCell ref="E54:E55"/>
    <mergeCell ref="E56:E58"/>
    <mergeCell ref="F51:F52"/>
    <mergeCell ref="F54:F55"/>
    <mergeCell ref="F56:F58"/>
    <mergeCell ref="G51:G52"/>
    <mergeCell ref="G54:G55"/>
    <mergeCell ref="G56:G58"/>
    <mergeCell ref="J53:M53"/>
    <mergeCell ref="J54:M54"/>
    <mergeCell ref="J55:M55"/>
    <mergeCell ref="J57:M57"/>
    <mergeCell ref="J52:M52"/>
    <mergeCell ref="J58:M58"/>
    <mergeCell ref="H51:H52"/>
    <mergeCell ref="H54:H55"/>
    <mergeCell ref="H56:H58"/>
    <mergeCell ref="O47:P47"/>
    <mergeCell ref="B48:C48"/>
    <mergeCell ref="J48:M48"/>
    <mergeCell ref="B49:C49"/>
    <mergeCell ref="J49:M49"/>
    <mergeCell ref="B50:C50"/>
    <mergeCell ref="J50:M50"/>
    <mergeCell ref="E51:E52"/>
    <mergeCell ref="B76:C76"/>
    <mergeCell ref="D76:E76"/>
    <mergeCell ref="F76:G76"/>
    <mergeCell ref="B71:C71"/>
    <mergeCell ref="D71:E71"/>
    <mergeCell ref="F71:G71"/>
    <mergeCell ref="B72:C72"/>
    <mergeCell ref="D72:E72"/>
    <mergeCell ref="F72:G72"/>
    <mergeCell ref="B73:C73"/>
    <mergeCell ref="D73:E73"/>
    <mergeCell ref="F73:G73"/>
    <mergeCell ref="B74:C74"/>
    <mergeCell ref="D74:E74"/>
    <mergeCell ref="F74:G74"/>
    <mergeCell ref="B75:C75"/>
    <mergeCell ref="D75:E75"/>
    <mergeCell ref="F75:G75"/>
    <mergeCell ref="D67:E67"/>
    <mergeCell ref="F67:G67"/>
    <mergeCell ref="B68:C68"/>
    <mergeCell ref="D68:E68"/>
    <mergeCell ref="F68:G68"/>
    <mergeCell ref="B69:C69"/>
    <mergeCell ref="D69:E69"/>
    <mergeCell ref="F69:G69"/>
    <mergeCell ref="B70:C70"/>
    <mergeCell ref="D70:E70"/>
    <mergeCell ref="F70:G70"/>
    <mergeCell ref="A51:A52"/>
    <mergeCell ref="A54:A55"/>
    <mergeCell ref="A56:A58"/>
    <mergeCell ref="D28:D29"/>
    <mergeCell ref="D43:D44"/>
    <mergeCell ref="D51:D52"/>
    <mergeCell ref="D54:D55"/>
    <mergeCell ref="D56:D58"/>
    <mergeCell ref="B28:C29"/>
    <mergeCell ref="B43:C44"/>
    <mergeCell ref="B51:C52"/>
    <mergeCell ref="B54:C55"/>
    <mergeCell ref="B45:C45"/>
    <mergeCell ref="B46:C46"/>
    <mergeCell ref="B47:C47"/>
    <mergeCell ref="B53:C53"/>
    <mergeCell ref="B35:C35"/>
    <mergeCell ref="B36:C36"/>
    <mergeCell ref="B37:C37"/>
    <mergeCell ref="B38:C38"/>
    <mergeCell ref="B39:C39"/>
    <mergeCell ref="A28:A29"/>
    <mergeCell ref="A43:A44"/>
    <mergeCell ref="K45:K46"/>
    <mergeCell ref="L35:L36"/>
    <mergeCell ref="L37:L38"/>
    <mergeCell ref="L39:L40"/>
    <mergeCell ref="L41:L42"/>
    <mergeCell ref="L43:L44"/>
    <mergeCell ref="L45:L46"/>
    <mergeCell ref="J45:J46"/>
    <mergeCell ref="J56:M56"/>
    <mergeCell ref="J51:M51"/>
    <mergeCell ref="E43:F43"/>
    <mergeCell ref="G43:G44"/>
    <mergeCell ref="H43:H44"/>
    <mergeCell ref="J35:J36"/>
    <mergeCell ref="J37:J38"/>
    <mergeCell ref="J39:J40"/>
    <mergeCell ref="J41:J42"/>
    <mergeCell ref="J43:J44"/>
    <mergeCell ref="B40:C40"/>
    <mergeCell ref="B41:C41"/>
    <mergeCell ref="B42:C42"/>
    <mergeCell ref="J24:M24"/>
    <mergeCell ref="J25:K25"/>
    <mergeCell ref="L25:M25"/>
    <mergeCell ref="J26:K27"/>
    <mergeCell ref="A62:D64"/>
    <mergeCell ref="E62:H64"/>
    <mergeCell ref="J62:K64"/>
    <mergeCell ref="L62:M64"/>
    <mergeCell ref="B56:C58"/>
    <mergeCell ref="M35:M36"/>
    <mergeCell ref="M37:M38"/>
    <mergeCell ref="M39:M40"/>
    <mergeCell ref="M41:M42"/>
    <mergeCell ref="M43:M44"/>
    <mergeCell ref="M45:M46"/>
    <mergeCell ref="A60:D61"/>
    <mergeCell ref="E60:H61"/>
    <mergeCell ref="J60:K61"/>
    <mergeCell ref="L60:M61"/>
    <mergeCell ref="K35:K36"/>
    <mergeCell ref="K37:K38"/>
    <mergeCell ref="K39:K40"/>
    <mergeCell ref="K41:K42"/>
    <mergeCell ref="K43:K44"/>
  </mergeCells>
  <conditionalFormatting sqref="C27">
    <cfRule type="duplicateValues" dxfId="35" priority="1" stopIfTrue="1"/>
    <cfRule type="duplicateValues" dxfId="34" priority="2" stopIfTrue="1"/>
    <cfRule type="duplicateValues" dxfId="33" priority="3" stopIfTrue="1"/>
    <cfRule type="duplicateValues" dxfId="32" priority="4" stopIfTrue="1"/>
    <cfRule type="duplicateValues" dxfId="31" priority="5" stopIfTrue="1"/>
    <cfRule type="duplicateValues" dxfId="30" priority="6" stopIfTrue="1"/>
  </conditionalFormatting>
  <printOptions horizontalCentered="1"/>
  <pageMargins left="0.23622047244094499" right="0.23622047244094499" top="0.39305555555555599" bottom="0.27500000000000002" header="0.31496062992126" footer="0.31496062992126"/>
  <pageSetup paperSize="9" scale="65" orientation="portrait" horizontalDpi="300" verticalDpi="30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00B0F0"/>
    <pageSetUpPr fitToPage="1"/>
  </sheetPr>
  <dimension ref="A1:Q73"/>
  <sheetViews>
    <sheetView showGridLines="0" view="pageBreakPreview" zoomScale="85" zoomScaleNormal="100" zoomScalePageLayoutView="85" workbookViewId="0">
      <selection activeCell="D39" sqref="D39:D40"/>
    </sheetView>
  </sheetViews>
  <sheetFormatPr defaultColWidth="8.88671875" defaultRowHeight="13.8"/>
  <cols>
    <col min="1" max="1" width="4" style="26" customWidth="1"/>
    <col min="2" max="2" width="20" style="26" customWidth="1"/>
    <col min="3" max="3" width="5.44140625" style="26" customWidth="1"/>
    <col min="4" max="4" width="20.109375" style="26" customWidth="1"/>
    <col min="5" max="6" width="10.44140625" style="26" customWidth="1"/>
    <col min="7" max="8" width="10.33203125" style="26" customWidth="1"/>
    <col min="9" max="9" width="1.77734375" style="26" customWidth="1"/>
    <col min="10" max="10" width="10.109375" style="26" customWidth="1"/>
    <col min="11" max="11" width="11.109375" style="26" customWidth="1"/>
    <col min="12" max="12" width="9.88671875" style="26" customWidth="1"/>
    <col min="13" max="13" width="8.88671875" style="26" customWidth="1"/>
    <col min="14" max="14" width="8.88671875" style="26"/>
    <col min="15" max="15" width="9.88671875" style="26" customWidth="1"/>
    <col min="16" max="16" width="17.109375" style="26" customWidth="1"/>
    <col min="17" max="17" width="2" style="26" hidden="1" customWidth="1"/>
    <col min="18" max="18" width="51.109375" style="26" customWidth="1"/>
    <col min="19" max="16384" width="8.88671875" style="26"/>
  </cols>
  <sheetData>
    <row r="1" spans="1:13" ht="19.05" customHeight="1">
      <c r="A1" s="758"/>
      <c r="B1" s="759"/>
      <c r="C1" s="764" t="s">
        <v>139</v>
      </c>
      <c r="D1" s="765"/>
      <c r="E1" s="765"/>
      <c r="F1" s="765"/>
      <c r="G1" s="765"/>
      <c r="H1" s="765"/>
      <c r="I1" s="765"/>
      <c r="J1" s="766"/>
      <c r="K1" s="582" t="s">
        <v>140</v>
      </c>
      <c r="L1" s="583"/>
      <c r="M1" s="584"/>
    </row>
    <row r="2" spans="1:13" ht="19.05" customHeight="1">
      <c r="A2" s="760"/>
      <c r="B2" s="761"/>
      <c r="C2" s="767"/>
      <c r="D2" s="465"/>
      <c r="E2" s="465"/>
      <c r="F2" s="465"/>
      <c r="G2" s="465"/>
      <c r="H2" s="465"/>
      <c r="I2" s="465"/>
      <c r="J2" s="511"/>
      <c r="K2" s="585" t="s">
        <v>87</v>
      </c>
      <c r="L2" s="586"/>
      <c r="M2" s="587"/>
    </row>
    <row r="3" spans="1:13" ht="19.05" customHeight="1">
      <c r="A3" s="762"/>
      <c r="B3" s="763"/>
      <c r="C3" s="768"/>
      <c r="D3" s="769"/>
      <c r="E3" s="769"/>
      <c r="F3" s="769"/>
      <c r="G3" s="769"/>
      <c r="H3" s="769"/>
      <c r="I3" s="769"/>
      <c r="J3" s="770"/>
      <c r="K3" s="588" t="s">
        <v>123</v>
      </c>
      <c r="L3" s="589"/>
      <c r="M3" s="590"/>
    </row>
    <row r="4" spans="1:13" ht="15" customHeight="1">
      <c r="A4" s="34"/>
      <c r="C4" s="82"/>
    </row>
    <row r="5" spans="1:13" ht="15" customHeight="1">
      <c r="A5" s="518" t="s">
        <v>89</v>
      </c>
      <c r="B5" s="518"/>
      <c r="C5" s="581">
        <f>'In 2'!C5</f>
        <v>0</v>
      </c>
      <c r="D5" s="581"/>
      <c r="E5" s="581"/>
      <c r="F5" s="581"/>
      <c r="G5" s="581"/>
      <c r="H5" s="581"/>
      <c r="I5" s="83" t="s">
        <v>3</v>
      </c>
      <c r="J5" s="83"/>
      <c r="K5" s="269">
        <f>'In 2'!K5</f>
        <v>0</v>
      </c>
      <c r="L5" s="266"/>
    </row>
    <row r="6" spans="1:13" ht="15" customHeight="1">
      <c r="A6" s="521" t="s">
        <v>90</v>
      </c>
      <c r="B6" s="521"/>
      <c r="C6" s="757">
        <f>'In 2'!C6</f>
        <v>0</v>
      </c>
      <c r="D6" s="757"/>
      <c r="E6" s="757"/>
      <c r="F6" s="757"/>
      <c r="G6" s="757"/>
      <c r="H6" s="757"/>
      <c r="I6" s="83" t="s">
        <v>141</v>
      </c>
      <c r="J6" s="83"/>
      <c r="K6" s="267" t="s">
        <v>124</v>
      </c>
      <c r="L6" s="266"/>
    </row>
    <row r="7" spans="1:13" ht="15" customHeight="1">
      <c r="A7" s="521" t="s">
        <v>92</v>
      </c>
      <c r="B7" s="521"/>
      <c r="C7" s="757">
        <f>'In 2'!C7</f>
        <v>0</v>
      </c>
      <c r="D7" s="757"/>
      <c r="E7" s="757"/>
      <c r="F7" s="757"/>
      <c r="G7" s="757"/>
      <c r="H7" s="757"/>
      <c r="I7" s="85" t="s">
        <v>93</v>
      </c>
      <c r="J7" s="85"/>
      <c r="K7" s="86" t="s">
        <v>341</v>
      </c>
    </row>
    <row r="8" spans="1:13" ht="20.399999999999999" customHeight="1">
      <c r="A8" s="521" t="s">
        <v>94</v>
      </c>
      <c r="B8" s="521"/>
      <c r="C8" s="581">
        <f>'In 2'!C8</f>
        <v>0</v>
      </c>
      <c r="D8" s="581"/>
      <c r="E8" s="581"/>
      <c r="F8" s="581"/>
      <c r="G8" s="581"/>
      <c r="H8" s="581"/>
      <c r="I8" s="85" t="s">
        <v>95</v>
      </c>
      <c r="J8" s="85"/>
      <c r="K8" s="86" t="s">
        <v>341</v>
      </c>
    </row>
    <row r="9" spans="1:13" ht="15" customHeight="1">
      <c r="A9" s="36"/>
      <c r="B9" s="36"/>
      <c r="C9" s="36"/>
      <c r="D9" s="36"/>
      <c r="E9" s="36"/>
      <c r="I9" s="36"/>
      <c r="K9" s="36"/>
    </row>
    <row r="10" spans="1:13" ht="19.05" customHeight="1">
      <c r="A10" s="444"/>
      <c r="B10" s="445"/>
      <c r="C10" s="385" t="s">
        <v>96</v>
      </c>
      <c r="D10" s="385"/>
      <c r="E10" s="385"/>
      <c r="F10" s="385"/>
      <c r="G10" s="385"/>
      <c r="H10" s="385" t="s">
        <v>97</v>
      </c>
      <c r="I10" s="385"/>
      <c r="J10" s="385"/>
      <c r="K10" s="385"/>
      <c r="L10" s="385"/>
      <c r="M10" s="305"/>
    </row>
    <row r="11" spans="1:13" ht="19.05" customHeight="1">
      <c r="A11" s="579" t="s">
        <v>98</v>
      </c>
      <c r="B11" s="331"/>
      <c r="C11" s="366" t="s">
        <v>313</v>
      </c>
      <c r="D11" s="366"/>
      <c r="E11" s="366"/>
      <c r="F11" s="366"/>
      <c r="G11" s="366"/>
      <c r="H11" s="366" t="s">
        <v>313</v>
      </c>
      <c r="I11" s="366"/>
      <c r="J11" s="366"/>
      <c r="K11" s="366"/>
      <c r="L11" s="366"/>
      <c r="M11" s="544"/>
    </row>
    <row r="12" spans="1:13" ht="19.05" customHeight="1">
      <c r="A12" s="579" t="s">
        <v>99</v>
      </c>
      <c r="B12" s="331"/>
      <c r="C12" s="366" t="s">
        <v>100</v>
      </c>
      <c r="D12" s="366"/>
      <c r="E12" s="366"/>
      <c r="F12" s="366"/>
      <c r="G12" s="366"/>
      <c r="H12" s="366" t="s">
        <v>314</v>
      </c>
      <c r="I12" s="366"/>
      <c r="J12" s="366"/>
      <c r="K12" s="366"/>
      <c r="L12" s="366"/>
      <c r="M12" s="544"/>
    </row>
    <row r="13" spans="1:13" ht="19.05" customHeight="1">
      <c r="A13" s="580" t="s">
        <v>101</v>
      </c>
      <c r="B13" s="333"/>
      <c r="C13" s="563"/>
      <c r="D13" s="563"/>
      <c r="E13" s="563"/>
      <c r="F13" s="563"/>
      <c r="G13" s="563"/>
      <c r="H13" s="563"/>
      <c r="I13" s="563"/>
      <c r="J13" s="563"/>
      <c r="K13" s="563"/>
      <c r="L13" s="563"/>
      <c r="M13" s="306"/>
    </row>
    <row r="15" spans="1:13" ht="24" customHeight="1">
      <c r="A15" s="575" t="s">
        <v>125</v>
      </c>
      <c r="B15" s="387"/>
      <c r="C15" s="387"/>
      <c r="D15" s="387"/>
      <c r="E15" s="387"/>
      <c r="F15" s="387"/>
      <c r="G15" s="387"/>
      <c r="H15" s="388"/>
      <c r="J15" s="384" t="s">
        <v>142</v>
      </c>
      <c r="K15" s="385"/>
      <c r="L15" s="385"/>
      <c r="M15" s="305"/>
    </row>
    <row r="16" spans="1:13" ht="44.4" customHeight="1">
      <c r="A16" s="592" t="s">
        <v>209</v>
      </c>
      <c r="B16" s="593"/>
      <c r="C16" s="593"/>
      <c r="D16" s="776">
        <f>G18+G19</f>
        <v>0</v>
      </c>
      <c r="E16" s="777"/>
      <c r="F16" s="812" t="s">
        <v>49</v>
      </c>
      <c r="G16" s="812"/>
      <c r="H16" s="813"/>
      <c r="J16" s="541" t="s">
        <v>105</v>
      </c>
      <c r="K16" s="542"/>
      <c r="L16" s="542" t="s">
        <v>106</v>
      </c>
      <c r="M16" s="543"/>
    </row>
    <row r="17" spans="1:14" ht="18" customHeight="1">
      <c r="A17" s="89" t="s">
        <v>32</v>
      </c>
      <c r="B17" s="398" t="s">
        <v>33</v>
      </c>
      <c r="C17" s="398"/>
      <c r="D17" s="117" t="s">
        <v>34</v>
      </c>
      <c r="E17" s="90" t="s">
        <v>145</v>
      </c>
      <c r="F17" s="91" t="s">
        <v>6</v>
      </c>
      <c r="G17" s="91" t="s">
        <v>146</v>
      </c>
      <c r="H17" s="92" t="s">
        <v>147</v>
      </c>
      <c r="J17" s="372"/>
      <c r="K17" s="373"/>
      <c r="M17" s="93"/>
    </row>
    <row r="18" spans="1:14" ht="18" customHeight="1">
      <c r="A18" s="89">
        <v>1</v>
      </c>
      <c r="B18" s="418" t="str">
        <f>Thổi!C17</f>
        <v xml:space="preserve">LDPE </v>
      </c>
      <c r="C18" s="418"/>
      <c r="D18" s="217" t="str">
        <f>Thổi!D17</f>
        <v>NHLLDPEFD21HN</v>
      </c>
      <c r="E18" s="295">
        <v>0.89300000000000002</v>
      </c>
      <c r="F18" s="230" t="s">
        <v>49</v>
      </c>
      <c r="G18" s="296">
        <f>Thổi!G17</f>
        <v>0</v>
      </c>
      <c r="H18" s="118"/>
      <c r="J18" s="539"/>
      <c r="K18" s="540"/>
      <c r="L18" s="97"/>
      <c r="M18" s="98"/>
    </row>
    <row r="19" spans="1:14" ht="18" customHeight="1">
      <c r="A19" s="54">
        <v>2</v>
      </c>
      <c r="B19" s="418" t="str">
        <f>Thổi!C18</f>
        <v>Hạt taical trắng EFPE 75T</v>
      </c>
      <c r="C19" s="418"/>
      <c r="D19" s="217" t="str">
        <f>Thổi!D18</f>
        <v>NHTEFPE75T01</v>
      </c>
      <c r="E19" s="295">
        <v>0.107</v>
      </c>
      <c r="F19" s="230" t="s">
        <v>49</v>
      </c>
      <c r="G19" s="296">
        <f>Thổi!G18</f>
        <v>0</v>
      </c>
      <c r="H19" s="118"/>
    </row>
    <row r="20" spans="1:14" ht="18" customHeight="1">
      <c r="A20" s="54">
        <v>3</v>
      </c>
      <c r="B20" s="829">
        <f>Thổi!C19</f>
        <v>0</v>
      </c>
      <c r="C20" s="830"/>
      <c r="D20" s="344">
        <f>Thổi!D19</f>
        <v>0</v>
      </c>
      <c r="E20" s="828"/>
      <c r="F20" s="230" t="s">
        <v>49</v>
      </c>
      <c r="G20" s="296">
        <f>Thổi!G19</f>
        <v>0</v>
      </c>
      <c r="H20" s="118"/>
      <c r="J20" s="384" t="s">
        <v>149</v>
      </c>
      <c r="K20" s="385"/>
      <c r="L20" s="385"/>
      <c r="M20" s="305"/>
    </row>
    <row r="21" spans="1:14" ht="18" customHeight="1">
      <c r="A21" s="54">
        <v>4</v>
      </c>
      <c r="B21" s="831"/>
      <c r="C21" s="832"/>
      <c r="D21" s="345"/>
      <c r="E21" s="828"/>
      <c r="F21" s="297" t="s">
        <v>56</v>
      </c>
      <c r="G21" s="298" t="e">
        <f>Thổi!G20</f>
        <v>#DIV/0!</v>
      </c>
      <c r="H21" s="120"/>
      <c r="J21" s="541" t="s">
        <v>105</v>
      </c>
      <c r="K21" s="542"/>
      <c r="L21" s="542" t="s">
        <v>106</v>
      </c>
      <c r="M21" s="543"/>
    </row>
    <row r="22" spans="1:14" ht="18" customHeight="1">
      <c r="A22" s="54">
        <v>5</v>
      </c>
      <c r="B22" s="390"/>
      <c r="C22" s="390"/>
      <c r="D22" s="52"/>
      <c r="E22" s="121"/>
      <c r="F22" s="99"/>
      <c r="G22" s="119"/>
      <c r="H22" s="120"/>
      <c r="J22" s="372"/>
      <c r="K22" s="373"/>
      <c r="M22" s="93"/>
    </row>
    <row r="23" spans="1:14" ht="18" customHeight="1" thickBot="1">
      <c r="A23" s="70">
        <v>6</v>
      </c>
      <c r="B23" s="393"/>
      <c r="C23" s="393"/>
      <c r="D23" s="122"/>
      <c r="E23" s="123"/>
      <c r="F23" s="124"/>
      <c r="G23" s="122"/>
      <c r="H23" s="125"/>
      <c r="J23" s="539"/>
      <c r="K23" s="540"/>
      <c r="L23" s="97"/>
      <c r="M23" s="98"/>
    </row>
    <row r="24" spans="1:14" ht="18" customHeight="1">
      <c r="A24" s="34"/>
      <c r="B24" s="33"/>
      <c r="C24" s="33"/>
      <c r="D24" s="36"/>
      <c r="E24" s="192"/>
      <c r="F24" s="143"/>
      <c r="G24" s="36"/>
      <c r="H24" s="36"/>
      <c r="J24" s="384" t="s">
        <v>330</v>
      </c>
      <c r="K24" s="385"/>
      <c r="L24" s="385"/>
      <c r="M24" s="305"/>
    </row>
    <row r="25" spans="1:14" ht="18" customHeight="1">
      <c r="A25" s="34"/>
      <c r="B25" s="33"/>
      <c r="C25" s="33"/>
      <c r="D25" s="36"/>
      <c r="E25" s="192"/>
      <c r="F25" s="143"/>
      <c r="G25" s="36"/>
      <c r="H25" s="36"/>
      <c r="J25" s="541" t="s">
        <v>105</v>
      </c>
      <c r="K25" s="542"/>
      <c r="L25" s="542" t="s">
        <v>106</v>
      </c>
      <c r="M25" s="543"/>
    </row>
    <row r="26" spans="1:14" ht="18" customHeight="1">
      <c r="A26" s="34"/>
      <c r="B26" s="33"/>
      <c r="C26" s="33"/>
      <c r="D26" s="36"/>
      <c r="E26" s="192"/>
      <c r="F26" s="143"/>
      <c r="G26" s="36"/>
      <c r="H26" s="36"/>
      <c r="J26" s="372"/>
      <c r="K26" s="373"/>
      <c r="M26" s="93"/>
    </row>
    <row r="27" spans="1:14" ht="18" customHeight="1" thickBot="1">
      <c r="B27" s="25"/>
      <c r="C27" s="36"/>
      <c r="D27" s="395"/>
      <c r="E27" s="395"/>
      <c r="F27" s="104"/>
      <c r="G27" s="423"/>
      <c r="H27" s="423"/>
      <c r="J27" s="539"/>
      <c r="K27" s="540"/>
      <c r="L27" s="97"/>
      <c r="M27" s="98"/>
    </row>
    <row r="28" spans="1:14" ht="18" customHeight="1">
      <c r="A28" s="384" t="s">
        <v>32</v>
      </c>
      <c r="B28" s="385" t="s">
        <v>152</v>
      </c>
      <c r="C28" s="385"/>
      <c r="D28" s="320" t="s">
        <v>153</v>
      </c>
      <c r="E28" s="492" t="s">
        <v>154</v>
      </c>
      <c r="F28" s="492"/>
      <c r="G28" s="385" t="s">
        <v>35</v>
      </c>
      <c r="H28" s="305" t="s">
        <v>106</v>
      </c>
      <c r="J28" s="105" t="s">
        <v>32</v>
      </c>
      <c r="K28" s="106" t="s">
        <v>114</v>
      </c>
      <c r="L28" s="107" t="s">
        <v>150</v>
      </c>
      <c r="M28" s="108" t="s">
        <v>151</v>
      </c>
      <c r="N28" s="109"/>
    </row>
    <row r="29" spans="1:14" ht="18" customHeight="1">
      <c r="A29" s="541"/>
      <c r="B29" s="542"/>
      <c r="C29" s="542"/>
      <c r="D29" s="398"/>
      <c r="E29" s="90" t="s">
        <v>159</v>
      </c>
      <c r="F29" s="90" t="s">
        <v>159</v>
      </c>
      <c r="G29" s="542"/>
      <c r="H29" s="543"/>
      <c r="J29" s="54">
        <v>1</v>
      </c>
      <c r="K29" s="29"/>
      <c r="L29" s="29"/>
      <c r="M29" s="30"/>
      <c r="N29" s="109"/>
    </row>
    <row r="30" spans="1:14" ht="23.4" customHeight="1">
      <c r="A30" s="365">
        <v>1</v>
      </c>
      <c r="B30" s="390" t="s">
        <v>280</v>
      </c>
      <c r="C30" s="390"/>
      <c r="D30" s="390" t="s">
        <v>281</v>
      </c>
      <c r="E30" s="528"/>
      <c r="F30" s="528"/>
      <c r="G30" s="366" t="s">
        <v>197</v>
      </c>
      <c r="H30" s="544"/>
      <c r="J30" s="54">
        <v>2</v>
      </c>
      <c r="K30" s="29"/>
      <c r="L30" s="29"/>
      <c r="M30" s="30"/>
      <c r="N30" s="110"/>
    </row>
    <row r="31" spans="1:14" ht="23.4" customHeight="1">
      <c r="A31" s="365"/>
      <c r="B31" s="390"/>
      <c r="C31" s="390"/>
      <c r="D31" s="390"/>
      <c r="E31" s="528"/>
      <c r="F31" s="528"/>
      <c r="G31" s="366"/>
      <c r="H31" s="544"/>
      <c r="J31" s="54">
        <v>3</v>
      </c>
      <c r="K31" s="29"/>
      <c r="L31" s="29"/>
      <c r="M31" s="30"/>
      <c r="N31" s="110"/>
    </row>
    <row r="32" spans="1:14" ht="23.4" customHeight="1">
      <c r="A32" s="365"/>
      <c r="B32" s="390"/>
      <c r="C32" s="390"/>
      <c r="D32" s="390"/>
      <c r="E32" s="528"/>
      <c r="F32" s="528"/>
      <c r="G32" s="366"/>
      <c r="H32" s="544"/>
      <c r="J32" s="54">
        <v>4</v>
      </c>
      <c r="K32" s="29"/>
      <c r="L32" s="29"/>
      <c r="M32" s="30"/>
      <c r="N32" s="110"/>
    </row>
    <row r="33" spans="1:14" ht="23.4" customHeight="1">
      <c r="A33" s="365"/>
      <c r="B33" s="390"/>
      <c r="C33" s="390"/>
      <c r="D33" s="390"/>
      <c r="E33" s="528"/>
      <c r="F33" s="528"/>
      <c r="G33" s="366"/>
      <c r="H33" s="544"/>
      <c r="J33" s="70">
        <v>5</v>
      </c>
      <c r="K33" s="31"/>
      <c r="L33" s="31"/>
      <c r="M33" s="69"/>
      <c r="N33" s="110"/>
    </row>
    <row r="34" spans="1:14" ht="19.95" customHeight="1">
      <c r="A34" s="54">
        <v>2</v>
      </c>
      <c r="B34" s="390" t="s">
        <v>282</v>
      </c>
      <c r="C34" s="390"/>
      <c r="D34" s="46">
        <v>130</v>
      </c>
      <c r="E34" s="61"/>
      <c r="F34" s="126"/>
      <c r="G34" s="29" t="s">
        <v>219</v>
      </c>
      <c r="H34" s="112"/>
      <c r="J34" s="83"/>
      <c r="K34" s="27"/>
      <c r="L34" s="83"/>
      <c r="M34" s="83"/>
      <c r="N34" s="109"/>
    </row>
    <row r="35" spans="1:14" ht="19.95" customHeight="1">
      <c r="A35" s="54">
        <v>3</v>
      </c>
      <c r="B35" s="390" t="s">
        <v>283</v>
      </c>
      <c r="C35" s="390"/>
      <c r="D35" s="46">
        <v>140</v>
      </c>
      <c r="E35" s="61"/>
      <c r="F35" s="126"/>
      <c r="G35" s="29" t="s">
        <v>219</v>
      </c>
      <c r="H35" s="112"/>
      <c r="J35" s="384" t="s">
        <v>155</v>
      </c>
      <c r="K35" s="320" t="s">
        <v>156</v>
      </c>
      <c r="L35" s="385" t="s">
        <v>157</v>
      </c>
      <c r="M35" s="305" t="s">
        <v>158</v>
      </c>
      <c r="N35" s="110"/>
    </row>
    <row r="36" spans="1:14" ht="19.95" customHeight="1">
      <c r="A36" s="54">
        <v>4</v>
      </c>
      <c r="B36" s="390" t="s">
        <v>284</v>
      </c>
      <c r="C36" s="390"/>
      <c r="D36" s="46">
        <v>150</v>
      </c>
      <c r="E36" s="61"/>
      <c r="F36" s="126"/>
      <c r="G36" s="29" t="s">
        <v>219</v>
      </c>
      <c r="H36" s="112"/>
      <c r="J36" s="541"/>
      <c r="K36" s="398"/>
      <c r="L36" s="542"/>
      <c r="M36" s="543"/>
      <c r="N36" s="110"/>
    </row>
    <row r="37" spans="1:14" ht="19.95" customHeight="1">
      <c r="A37" s="54">
        <v>5</v>
      </c>
      <c r="B37" s="390" t="s">
        <v>285</v>
      </c>
      <c r="C37" s="390"/>
      <c r="D37" s="46">
        <v>170</v>
      </c>
      <c r="E37" s="61"/>
      <c r="F37" s="126"/>
      <c r="G37" s="29" t="s">
        <v>219</v>
      </c>
      <c r="H37" s="112"/>
      <c r="J37" s="365"/>
      <c r="K37" s="366"/>
      <c r="L37" s="366"/>
      <c r="M37" s="544"/>
      <c r="N37" s="110"/>
    </row>
    <row r="38" spans="1:14" ht="19.95" customHeight="1">
      <c r="A38" s="54">
        <v>6</v>
      </c>
      <c r="B38" s="390" t="s">
        <v>286</v>
      </c>
      <c r="C38" s="390"/>
      <c r="D38" s="46">
        <v>170</v>
      </c>
      <c r="E38" s="61"/>
      <c r="F38" s="126"/>
      <c r="G38" s="29" t="s">
        <v>219</v>
      </c>
      <c r="H38" s="112"/>
      <c r="J38" s="365"/>
      <c r="K38" s="366"/>
      <c r="L38" s="366"/>
      <c r="M38" s="544"/>
      <c r="N38" s="110"/>
    </row>
    <row r="39" spans="1:14" ht="19.95" customHeight="1">
      <c r="A39" s="54">
        <v>7</v>
      </c>
      <c r="B39" s="390" t="s">
        <v>242</v>
      </c>
      <c r="C39" s="390"/>
      <c r="D39" s="215"/>
      <c r="E39" s="61"/>
      <c r="F39" s="126"/>
      <c r="G39" s="29" t="s">
        <v>170</v>
      </c>
      <c r="H39" s="112"/>
      <c r="J39" s="365"/>
      <c r="K39" s="366"/>
      <c r="L39" s="366"/>
      <c r="M39" s="544"/>
      <c r="N39" s="110"/>
    </row>
    <row r="40" spans="1:14" ht="19.95" customHeight="1">
      <c r="A40" s="54">
        <v>8</v>
      </c>
      <c r="B40" s="390" t="s">
        <v>287</v>
      </c>
      <c r="C40" s="390"/>
      <c r="D40" s="215"/>
      <c r="E40" s="61"/>
      <c r="F40" s="126"/>
      <c r="G40" s="29" t="s">
        <v>170</v>
      </c>
      <c r="H40" s="112"/>
      <c r="J40" s="365"/>
      <c r="K40" s="366"/>
      <c r="L40" s="366"/>
      <c r="M40" s="544"/>
      <c r="N40" s="110"/>
    </row>
    <row r="41" spans="1:14" ht="19.95" customHeight="1">
      <c r="A41" s="127"/>
      <c r="B41" s="341"/>
      <c r="C41" s="314"/>
      <c r="D41" s="128"/>
      <c r="E41" s="129"/>
      <c r="F41" s="129"/>
      <c r="G41" s="130"/>
      <c r="H41" s="131"/>
      <c r="J41" s="365"/>
      <c r="K41" s="366"/>
      <c r="L41" s="366"/>
      <c r="M41" s="544"/>
      <c r="N41" s="110"/>
    </row>
    <row r="42" spans="1:14" ht="19.95" customHeight="1">
      <c r="A42" s="83"/>
      <c r="B42" s="83"/>
      <c r="C42" s="83"/>
      <c r="D42" s="27"/>
      <c r="E42" s="27"/>
      <c r="F42" s="27"/>
      <c r="G42" s="83"/>
      <c r="H42" s="83"/>
      <c r="J42" s="365"/>
      <c r="K42" s="366"/>
      <c r="L42" s="366"/>
      <c r="M42" s="544"/>
      <c r="N42" s="110"/>
    </row>
    <row r="43" spans="1:14" ht="19.95" customHeight="1">
      <c r="A43" s="384" t="s">
        <v>32</v>
      </c>
      <c r="B43" s="385" t="s">
        <v>152</v>
      </c>
      <c r="C43" s="385"/>
      <c r="D43" s="320" t="s">
        <v>153</v>
      </c>
      <c r="E43" s="492" t="s">
        <v>154</v>
      </c>
      <c r="F43" s="492"/>
      <c r="G43" s="385" t="s">
        <v>35</v>
      </c>
      <c r="H43" s="305" t="s">
        <v>106</v>
      </c>
      <c r="J43" s="541"/>
      <c r="K43" s="542"/>
      <c r="L43" s="542"/>
      <c r="M43" s="543"/>
      <c r="N43" s="110"/>
    </row>
    <row r="44" spans="1:14" ht="19.95" customHeight="1">
      <c r="A44" s="541"/>
      <c r="B44" s="542"/>
      <c r="C44" s="542"/>
      <c r="D44" s="398"/>
      <c r="E44" s="90" t="s">
        <v>159</v>
      </c>
      <c r="F44" s="90" t="s">
        <v>159</v>
      </c>
      <c r="G44" s="542"/>
      <c r="H44" s="543"/>
      <c r="J44" s="541"/>
      <c r="K44" s="542"/>
      <c r="L44" s="542"/>
      <c r="M44" s="543"/>
      <c r="N44" s="110"/>
    </row>
    <row r="45" spans="1:14" ht="19.95" customHeight="1">
      <c r="A45" s="54">
        <v>1</v>
      </c>
      <c r="B45" s="716" t="s">
        <v>267</v>
      </c>
      <c r="C45" s="447"/>
      <c r="D45" s="215"/>
      <c r="E45" s="28"/>
      <c r="F45" s="28"/>
      <c r="G45" s="29" t="s">
        <v>108</v>
      </c>
      <c r="H45" s="132"/>
      <c r="J45" s="541"/>
      <c r="K45" s="542"/>
      <c r="L45" s="542"/>
      <c r="M45" s="543"/>
      <c r="N45" s="110"/>
    </row>
    <row r="46" spans="1:14" ht="19.95" customHeight="1">
      <c r="A46" s="54">
        <v>2</v>
      </c>
      <c r="B46" s="716" t="s">
        <v>266</v>
      </c>
      <c r="C46" s="447"/>
      <c r="D46" s="215"/>
      <c r="E46" s="28"/>
      <c r="F46" s="28"/>
      <c r="G46" s="29" t="s">
        <v>108</v>
      </c>
      <c r="H46" s="132"/>
      <c r="J46" s="750"/>
      <c r="K46" s="563"/>
      <c r="L46" s="563"/>
      <c r="M46" s="306"/>
      <c r="N46" s="110"/>
    </row>
    <row r="47" spans="1:14" ht="19.95" customHeight="1">
      <c r="A47" s="54">
        <v>3</v>
      </c>
      <c r="B47" s="716" t="s">
        <v>288</v>
      </c>
      <c r="C47" s="447"/>
      <c r="D47" s="215"/>
      <c r="E47" s="28"/>
      <c r="F47" s="28"/>
      <c r="G47" s="29" t="s">
        <v>108</v>
      </c>
      <c r="H47" s="132"/>
      <c r="J47" s="83"/>
      <c r="K47" s="83"/>
      <c r="L47" s="83"/>
      <c r="M47" s="83"/>
      <c r="N47" s="110"/>
    </row>
    <row r="48" spans="1:14" ht="19.95" customHeight="1">
      <c r="A48" s="54">
        <v>4</v>
      </c>
      <c r="B48" s="716" t="s">
        <v>289</v>
      </c>
      <c r="C48" s="447"/>
      <c r="D48" s="215"/>
      <c r="E48" s="28"/>
      <c r="F48" s="28"/>
      <c r="G48" s="29" t="s">
        <v>290</v>
      </c>
      <c r="H48" s="132"/>
      <c r="J48" s="384" t="s">
        <v>116</v>
      </c>
      <c r="K48" s="385"/>
      <c r="L48" s="385"/>
      <c r="M48" s="305"/>
      <c r="N48" s="110"/>
    </row>
    <row r="49" spans="1:14" ht="19.95" customHeight="1">
      <c r="A49" s="54">
        <v>5</v>
      </c>
      <c r="B49" s="716" t="s">
        <v>291</v>
      </c>
      <c r="C49" s="447"/>
      <c r="D49" s="215"/>
      <c r="E49" s="28"/>
      <c r="F49" s="28"/>
      <c r="G49" s="29" t="s">
        <v>292</v>
      </c>
      <c r="H49" s="132"/>
      <c r="J49" s="503"/>
      <c r="K49" s="463"/>
      <c r="L49" s="463"/>
      <c r="M49" s="533"/>
      <c r="N49" s="110"/>
    </row>
    <row r="50" spans="1:14" ht="19.95" customHeight="1">
      <c r="A50" s="54">
        <v>6</v>
      </c>
      <c r="B50" s="133" t="s">
        <v>325</v>
      </c>
      <c r="C50" s="134"/>
      <c r="D50" s="257"/>
      <c r="E50" s="135"/>
      <c r="F50" s="135"/>
      <c r="G50" s="29" t="s">
        <v>217</v>
      </c>
      <c r="H50" s="136"/>
      <c r="J50" s="137"/>
      <c r="K50" s="138"/>
      <c r="L50" s="138"/>
      <c r="M50" s="139"/>
      <c r="N50" s="110"/>
    </row>
    <row r="51" spans="1:14" ht="33" customHeight="1">
      <c r="A51" s="54">
        <v>7</v>
      </c>
      <c r="B51" s="133" t="s">
        <v>326</v>
      </c>
      <c r="C51" s="134"/>
      <c r="D51" s="257"/>
      <c r="E51" s="135"/>
      <c r="F51" s="135"/>
      <c r="G51" s="63"/>
      <c r="H51" s="136"/>
      <c r="J51" s="137"/>
      <c r="K51" s="138"/>
      <c r="L51" s="138"/>
      <c r="M51" s="139"/>
      <c r="N51" s="110"/>
    </row>
    <row r="52" spans="1:14" ht="24.6" customHeight="1">
      <c r="A52" s="734">
        <v>8</v>
      </c>
      <c r="B52" s="739" t="s">
        <v>187</v>
      </c>
      <c r="C52" s="740"/>
      <c r="D52" s="771" t="s">
        <v>293</v>
      </c>
      <c r="E52" s="321"/>
      <c r="F52" s="321"/>
      <c r="G52" s="311"/>
      <c r="H52" s="606"/>
      <c r="J52" s="744"/>
      <c r="K52" s="745"/>
      <c r="L52" s="745"/>
      <c r="M52" s="746"/>
      <c r="N52" s="110"/>
    </row>
    <row r="53" spans="1:14" ht="24.6" customHeight="1">
      <c r="A53" s="815"/>
      <c r="B53" s="817"/>
      <c r="C53" s="818"/>
      <c r="D53" s="330"/>
      <c r="E53" s="827"/>
      <c r="F53" s="827"/>
      <c r="G53" s="312"/>
      <c r="H53" s="826"/>
      <c r="J53" s="744"/>
      <c r="K53" s="745"/>
      <c r="L53" s="745"/>
      <c r="M53" s="746"/>
      <c r="N53" s="110"/>
    </row>
    <row r="54" spans="1:14" ht="19.95" customHeight="1">
      <c r="A54" s="87"/>
      <c r="B54" s="477"/>
      <c r="C54" s="473"/>
      <c r="D54" s="28"/>
      <c r="E54" s="28"/>
      <c r="F54" s="28"/>
      <c r="G54" s="88"/>
      <c r="H54" s="132"/>
      <c r="J54" s="744"/>
      <c r="K54" s="745"/>
      <c r="L54" s="745"/>
      <c r="M54" s="746"/>
      <c r="N54" s="110"/>
    </row>
    <row r="55" spans="1:14" ht="19.95" customHeight="1">
      <c r="A55" s="127"/>
      <c r="B55" s="341"/>
      <c r="C55" s="314"/>
      <c r="D55" s="128"/>
      <c r="E55" s="128"/>
      <c r="F55" s="128"/>
      <c r="G55" s="130"/>
      <c r="H55" s="131"/>
      <c r="J55" s="747"/>
      <c r="K55" s="748"/>
      <c r="L55" s="748"/>
      <c r="M55" s="749"/>
      <c r="N55" s="110"/>
    </row>
    <row r="56" spans="1:14" ht="18" customHeight="1">
      <c r="B56" s="115"/>
      <c r="C56" s="116"/>
      <c r="D56" s="116"/>
      <c r="E56" s="116"/>
      <c r="F56" s="116"/>
      <c r="G56" s="116"/>
      <c r="H56" s="116"/>
      <c r="N56" s="110"/>
    </row>
    <row r="57" spans="1:14" ht="18" customHeight="1">
      <c r="A57" s="764" t="s">
        <v>126</v>
      </c>
      <c r="B57" s="487"/>
      <c r="C57" s="487"/>
      <c r="D57" s="488"/>
      <c r="E57" s="496" t="s">
        <v>294</v>
      </c>
      <c r="F57" s="487"/>
      <c r="G57" s="487"/>
      <c r="H57" s="497"/>
      <c r="I57" s="34"/>
      <c r="J57" s="318" t="s">
        <v>327</v>
      </c>
      <c r="K57" s="320"/>
      <c r="L57" s="320" t="s">
        <v>328</v>
      </c>
      <c r="M57" s="396"/>
    </row>
    <row r="58" spans="1:14" ht="18" customHeight="1">
      <c r="A58" s="489"/>
      <c r="B58" s="490"/>
      <c r="C58" s="490"/>
      <c r="D58" s="491"/>
      <c r="E58" s="498"/>
      <c r="F58" s="490"/>
      <c r="G58" s="490"/>
      <c r="H58" s="499"/>
      <c r="J58" s="397"/>
      <c r="K58" s="398"/>
      <c r="L58" s="398"/>
      <c r="M58" s="399"/>
    </row>
    <row r="59" spans="1:14" ht="18" customHeight="1">
      <c r="A59" s="365"/>
      <c r="B59" s="366"/>
      <c r="C59" s="366"/>
      <c r="D59" s="366"/>
      <c r="E59" s="366"/>
      <c r="F59" s="366"/>
      <c r="G59" s="366"/>
      <c r="H59" s="544"/>
      <c r="J59" s="397"/>
      <c r="K59" s="398"/>
      <c r="L59" s="398"/>
      <c r="M59" s="399"/>
    </row>
    <row r="60" spans="1:14" ht="18" customHeight="1">
      <c r="A60" s="365"/>
      <c r="B60" s="366"/>
      <c r="C60" s="366"/>
      <c r="D60" s="366"/>
      <c r="E60" s="366"/>
      <c r="F60" s="366"/>
      <c r="G60" s="366"/>
      <c r="H60" s="544"/>
      <c r="J60" s="397"/>
      <c r="K60" s="398"/>
      <c r="L60" s="398"/>
      <c r="M60" s="399"/>
    </row>
    <row r="61" spans="1:14" ht="18" customHeight="1">
      <c r="A61" s="349"/>
      <c r="B61" s="350"/>
      <c r="C61" s="350"/>
      <c r="D61" s="350"/>
      <c r="E61" s="350"/>
      <c r="F61" s="350"/>
      <c r="G61" s="350"/>
      <c r="H61" s="545"/>
      <c r="J61" s="400"/>
      <c r="K61" s="401"/>
      <c r="L61" s="401"/>
      <c r="M61" s="402"/>
    </row>
    <row r="64" spans="1:14">
      <c r="D64" s="423"/>
      <c r="E64" s="423"/>
      <c r="F64" s="423"/>
      <c r="G64" s="423"/>
    </row>
    <row r="65" spans="2:7">
      <c r="B65" s="376"/>
      <c r="C65" s="376"/>
      <c r="D65" s="467"/>
      <c r="E65" s="467"/>
      <c r="F65" s="467"/>
      <c r="G65" s="467"/>
    </row>
    <row r="66" spans="2:7">
      <c r="B66" s="376"/>
      <c r="C66" s="376"/>
      <c r="D66" s="467"/>
      <c r="E66" s="467"/>
      <c r="F66" s="470"/>
      <c r="G66" s="470"/>
    </row>
    <row r="67" spans="2:7">
      <c r="B67" s="376"/>
      <c r="C67" s="376"/>
      <c r="D67" s="467"/>
      <c r="E67" s="467"/>
      <c r="F67" s="468"/>
      <c r="G67" s="468"/>
    </row>
    <row r="68" spans="2:7">
      <c r="B68" s="376"/>
      <c r="C68" s="376"/>
      <c r="D68" s="467"/>
      <c r="E68" s="467"/>
      <c r="F68" s="467"/>
      <c r="G68" s="467"/>
    </row>
    <row r="69" spans="2:7">
      <c r="B69" s="376"/>
      <c r="C69" s="376"/>
      <c r="D69" s="467"/>
      <c r="E69" s="467"/>
      <c r="F69" s="467"/>
      <c r="G69" s="467"/>
    </row>
    <row r="70" spans="2:7">
      <c r="B70" s="376"/>
      <c r="C70" s="376"/>
      <c r="D70" s="467"/>
      <c r="E70" s="467"/>
      <c r="F70" s="468"/>
      <c r="G70" s="468"/>
    </row>
    <row r="71" spans="2:7">
      <c r="B71" s="376"/>
      <c r="C71" s="376"/>
      <c r="D71" s="467"/>
      <c r="E71" s="467"/>
      <c r="F71" s="468"/>
      <c r="G71" s="468"/>
    </row>
    <row r="72" spans="2:7">
      <c r="B72" s="376"/>
      <c r="C72" s="376"/>
      <c r="D72" s="467"/>
      <c r="E72" s="467"/>
      <c r="F72" s="468"/>
      <c r="G72" s="468"/>
    </row>
    <row r="73" spans="2:7">
      <c r="B73" s="376"/>
      <c r="C73" s="376"/>
      <c r="D73" s="467"/>
      <c r="E73" s="467"/>
      <c r="F73" s="469"/>
      <c r="G73" s="469"/>
    </row>
  </sheetData>
  <mergeCells count="159">
    <mergeCell ref="K1:M1"/>
    <mergeCell ref="K2:M2"/>
    <mergeCell ref="K3:M3"/>
    <mergeCell ref="A5:B5"/>
    <mergeCell ref="C5:H5"/>
    <mergeCell ref="A6:B6"/>
    <mergeCell ref="C6:H6"/>
    <mergeCell ref="A7:B7"/>
    <mergeCell ref="C7:H7"/>
    <mergeCell ref="A1:B3"/>
    <mergeCell ref="C1:J3"/>
    <mergeCell ref="A8:B8"/>
    <mergeCell ref="C8:H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A13:B13"/>
    <mergeCell ref="C13:G13"/>
    <mergeCell ref="H13:M13"/>
    <mergeCell ref="A15:H15"/>
    <mergeCell ref="J15:M15"/>
    <mergeCell ref="A16:C16"/>
    <mergeCell ref="D16:E16"/>
    <mergeCell ref="F16:H16"/>
    <mergeCell ref="J16:K16"/>
    <mergeCell ref="L16:M16"/>
    <mergeCell ref="B17:C17"/>
    <mergeCell ref="B18:C18"/>
    <mergeCell ref="B19:C19"/>
    <mergeCell ref="J20:M20"/>
    <mergeCell ref="J21:K21"/>
    <mergeCell ref="L21:M21"/>
    <mergeCell ref="B22:C22"/>
    <mergeCell ref="B23:C23"/>
    <mergeCell ref="D27:E27"/>
    <mergeCell ref="G27:H27"/>
    <mergeCell ref="D20:D21"/>
    <mergeCell ref="E20:E21"/>
    <mergeCell ref="J17:K18"/>
    <mergeCell ref="J22:K23"/>
    <mergeCell ref="B20:C21"/>
    <mergeCell ref="J24:M24"/>
    <mergeCell ref="J25:K25"/>
    <mergeCell ref="L25:M25"/>
    <mergeCell ref="J26:K27"/>
    <mergeCell ref="B45:C45"/>
    <mergeCell ref="B46:C46"/>
    <mergeCell ref="B47:C47"/>
    <mergeCell ref="B48:C48"/>
    <mergeCell ref="J48:M48"/>
    <mergeCell ref="B49:C49"/>
    <mergeCell ref="J49:M49"/>
    <mergeCell ref="J52:M52"/>
    <mergeCell ref="L43:L44"/>
    <mergeCell ref="L45:L46"/>
    <mergeCell ref="B43:C44"/>
    <mergeCell ref="K43:K44"/>
    <mergeCell ref="K45:K46"/>
    <mergeCell ref="G28:G29"/>
    <mergeCell ref="G30:G33"/>
    <mergeCell ref="G43:G44"/>
    <mergeCell ref="G52:G53"/>
    <mergeCell ref="A57:D58"/>
    <mergeCell ref="E57:H58"/>
    <mergeCell ref="B69:C69"/>
    <mergeCell ref="D69:E69"/>
    <mergeCell ref="F69:G69"/>
    <mergeCell ref="B66:C66"/>
    <mergeCell ref="D66:E66"/>
    <mergeCell ref="F66:G66"/>
    <mergeCell ref="B67:C67"/>
    <mergeCell ref="D67:E67"/>
    <mergeCell ref="F67:G67"/>
    <mergeCell ref="B68:C68"/>
    <mergeCell ref="D68:E68"/>
    <mergeCell ref="F68:G68"/>
    <mergeCell ref="B54:C54"/>
    <mergeCell ref="B55:C55"/>
    <mergeCell ref="D64:E64"/>
    <mergeCell ref="F64:G64"/>
    <mergeCell ref="B52:C53"/>
    <mergeCell ref="E43:F43"/>
    <mergeCell ref="L39:L40"/>
    <mergeCell ref="A28:A29"/>
    <mergeCell ref="A30:A33"/>
    <mergeCell ref="A43:A44"/>
    <mergeCell ref="A52:A53"/>
    <mergeCell ref="D28:D29"/>
    <mergeCell ref="D30:D33"/>
    <mergeCell ref="D43:D44"/>
    <mergeCell ref="D52:D53"/>
    <mergeCell ref="E30:E33"/>
    <mergeCell ref="E52:E53"/>
    <mergeCell ref="E28:F28"/>
    <mergeCell ref="B34:C34"/>
    <mergeCell ref="B35:C35"/>
    <mergeCell ref="B36:C36"/>
    <mergeCell ref="B37:C37"/>
    <mergeCell ref="B38:C38"/>
    <mergeCell ref="B39:C39"/>
    <mergeCell ref="B40:C40"/>
    <mergeCell ref="B41:C41"/>
    <mergeCell ref="B28:C29"/>
    <mergeCell ref="B30:C33"/>
    <mergeCell ref="F30:F33"/>
    <mergeCell ref="F52:F53"/>
    <mergeCell ref="J54:M54"/>
    <mergeCell ref="J55:M55"/>
    <mergeCell ref="B65:C65"/>
    <mergeCell ref="D65:E65"/>
    <mergeCell ref="F65:G65"/>
    <mergeCell ref="J57:K58"/>
    <mergeCell ref="L57:M58"/>
    <mergeCell ref="A59:D61"/>
    <mergeCell ref="E59:H61"/>
    <mergeCell ref="J59:K61"/>
    <mergeCell ref="L59:M61"/>
    <mergeCell ref="B72:C72"/>
    <mergeCell ref="D72:E72"/>
    <mergeCell ref="F72:G72"/>
    <mergeCell ref="B73:C73"/>
    <mergeCell ref="D73:E73"/>
    <mergeCell ref="F73:G73"/>
    <mergeCell ref="B70:C70"/>
    <mergeCell ref="D70:E70"/>
    <mergeCell ref="F70:G70"/>
    <mergeCell ref="B71:C71"/>
    <mergeCell ref="D71:E71"/>
    <mergeCell ref="F71:G71"/>
    <mergeCell ref="L41:L42"/>
    <mergeCell ref="H28:H29"/>
    <mergeCell ref="H30:H33"/>
    <mergeCell ref="H43:H44"/>
    <mergeCell ref="H52:H53"/>
    <mergeCell ref="J35:J36"/>
    <mergeCell ref="J37:J38"/>
    <mergeCell ref="J39:J40"/>
    <mergeCell ref="J41:J42"/>
    <mergeCell ref="J43:J44"/>
    <mergeCell ref="J45:J46"/>
    <mergeCell ref="J53:M53"/>
    <mergeCell ref="M35:M36"/>
    <mergeCell ref="M37:M38"/>
    <mergeCell ref="M39:M40"/>
    <mergeCell ref="M41:M42"/>
    <mergeCell ref="M43:M44"/>
    <mergeCell ref="M45:M46"/>
    <mergeCell ref="K35:K36"/>
    <mergeCell ref="K37:K38"/>
    <mergeCell ref="K39:K40"/>
    <mergeCell ref="K41:K42"/>
    <mergeCell ref="L35:L36"/>
    <mergeCell ref="L37:L38"/>
  </mergeCells>
  <conditionalFormatting sqref="C27">
    <cfRule type="duplicateValues" dxfId="29" priority="1" stopIfTrue="1"/>
    <cfRule type="duplicateValues" dxfId="28" priority="2" stopIfTrue="1"/>
    <cfRule type="duplicateValues" dxfId="27" priority="3" stopIfTrue="1"/>
    <cfRule type="duplicateValues" dxfId="26" priority="4" stopIfTrue="1"/>
    <cfRule type="duplicateValues" dxfId="25" priority="5" stopIfTrue="1"/>
    <cfRule type="duplicateValues" dxfId="24" priority="6" stopIfTrue="1"/>
  </conditionalFormatting>
  <printOptions horizontalCentered="1"/>
  <pageMargins left="0.23622047244094499" right="0.23622047244094499" top="0.35416666666666702" bottom="0.27500000000000002" header="0.31496062992126" footer="0.31496062992126"/>
  <pageSetup paperSize="9" scale="65" orientation="portrait" horizontalDpi="300" verticalDpi="30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00B0F0"/>
    <pageSetUpPr fitToPage="1"/>
  </sheetPr>
  <dimension ref="A1:X72"/>
  <sheetViews>
    <sheetView showGridLines="0" view="pageBreakPreview" zoomScaleNormal="100" zoomScaleSheetLayoutView="100" zoomScalePageLayoutView="85" workbookViewId="0">
      <selection activeCell="I35" sqref="A35:XFD36"/>
    </sheetView>
  </sheetViews>
  <sheetFormatPr defaultColWidth="8.88671875" defaultRowHeight="13.8"/>
  <cols>
    <col min="1" max="1" width="4" style="26" customWidth="1"/>
    <col min="2" max="2" width="20.77734375" style="26" customWidth="1"/>
    <col min="3" max="3" width="6.6640625" style="26" customWidth="1"/>
    <col min="4" max="4" width="13.5546875" style="26" customWidth="1"/>
    <col min="5" max="6" width="10.44140625" style="26" customWidth="1"/>
    <col min="7" max="8" width="10.33203125" style="26" customWidth="1"/>
    <col min="9" max="9" width="1.77734375" style="26" customWidth="1"/>
    <col min="10" max="10" width="10.109375" style="26" customWidth="1"/>
    <col min="11" max="11" width="11.109375" style="26" customWidth="1"/>
    <col min="12" max="12" width="9.88671875" style="26" customWidth="1"/>
    <col min="13" max="13" width="12.44140625" style="26" customWidth="1"/>
    <col min="14" max="14" width="8.88671875" style="26"/>
    <col min="15" max="15" width="9.88671875" style="26" customWidth="1"/>
    <col min="16" max="16" width="50.6640625" style="26" customWidth="1"/>
    <col min="17" max="17" width="35.5546875" style="26" customWidth="1"/>
    <col min="18" max="16384" width="8.88671875" style="26"/>
  </cols>
  <sheetData>
    <row r="1" spans="1:24" ht="19.05" customHeight="1">
      <c r="A1" s="758"/>
      <c r="B1" s="759"/>
      <c r="C1" s="764" t="s">
        <v>139</v>
      </c>
      <c r="D1" s="765"/>
      <c r="E1" s="765"/>
      <c r="F1" s="765"/>
      <c r="G1" s="765"/>
      <c r="H1" s="765"/>
      <c r="I1" s="765"/>
      <c r="J1" s="766"/>
      <c r="K1" s="582" t="s">
        <v>140</v>
      </c>
      <c r="L1" s="583"/>
      <c r="M1" s="584"/>
    </row>
    <row r="2" spans="1:24" ht="19.05" customHeight="1">
      <c r="A2" s="760"/>
      <c r="B2" s="761"/>
      <c r="C2" s="767"/>
      <c r="D2" s="465"/>
      <c r="E2" s="465"/>
      <c r="F2" s="465"/>
      <c r="G2" s="465"/>
      <c r="H2" s="465"/>
      <c r="I2" s="465"/>
      <c r="J2" s="511"/>
      <c r="K2" s="585" t="s">
        <v>87</v>
      </c>
      <c r="L2" s="586"/>
      <c r="M2" s="587"/>
    </row>
    <row r="3" spans="1:24" ht="19.05" customHeight="1">
      <c r="A3" s="762"/>
      <c r="B3" s="763"/>
      <c r="C3" s="768"/>
      <c r="D3" s="769"/>
      <c r="E3" s="769"/>
      <c r="F3" s="769"/>
      <c r="G3" s="769"/>
      <c r="H3" s="769"/>
      <c r="I3" s="769"/>
      <c r="J3" s="770"/>
      <c r="K3" s="588" t="s">
        <v>88</v>
      </c>
      <c r="L3" s="589"/>
      <c r="M3" s="590"/>
      <c r="P3" s="36"/>
      <c r="Q3" s="36"/>
    </row>
    <row r="4" spans="1:24" ht="15" customHeight="1">
      <c r="A4" s="34"/>
      <c r="C4" s="82"/>
      <c r="P4" s="36"/>
      <c r="Q4" s="36"/>
    </row>
    <row r="5" spans="1:24" ht="15" customHeight="1">
      <c r="A5" s="518" t="s">
        <v>89</v>
      </c>
      <c r="B5" s="518"/>
      <c r="C5" s="581">
        <f>'In 2'!C5</f>
        <v>0</v>
      </c>
      <c r="D5" s="581"/>
      <c r="E5" s="581"/>
      <c r="F5" s="581"/>
      <c r="G5" s="581"/>
      <c r="H5" s="581"/>
      <c r="I5" s="83" t="s">
        <v>3</v>
      </c>
      <c r="J5" s="83"/>
      <c r="K5" s="269">
        <f>'In 2'!K5</f>
        <v>0</v>
      </c>
      <c r="P5" s="36"/>
      <c r="Q5" s="36"/>
      <c r="U5" s="26" t="s">
        <v>59</v>
      </c>
      <c r="V5" s="26" t="s">
        <v>60</v>
      </c>
      <c r="W5" s="26" t="s">
        <v>61</v>
      </c>
      <c r="X5" s="26" t="s">
        <v>62</v>
      </c>
    </row>
    <row r="6" spans="1:24" ht="15" customHeight="1">
      <c r="A6" s="521" t="s">
        <v>90</v>
      </c>
      <c r="B6" s="521"/>
      <c r="C6" s="757">
        <f>'In 2'!C6</f>
        <v>0</v>
      </c>
      <c r="D6" s="757"/>
      <c r="E6" s="757"/>
      <c r="F6" s="757"/>
      <c r="G6" s="757"/>
      <c r="H6" s="757"/>
      <c r="I6" s="83" t="s">
        <v>141</v>
      </c>
      <c r="J6" s="83"/>
      <c r="K6" s="36" t="s">
        <v>76</v>
      </c>
      <c r="P6" s="36"/>
      <c r="Q6" s="36"/>
    </row>
    <row r="7" spans="1:24" ht="15" customHeight="1">
      <c r="A7" s="521" t="s">
        <v>92</v>
      </c>
      <c r="B7" s="521"/>
      <c r="C7" s="757">
        <f>'In 2'!C7</f>
        <v>0</v>
      </c>
      <c r="D7" s="757"/>
      <c r="E7" s="757"/>
      <c r="F7" s="757"/>
      <c r="G7" s="757"/>
      <c r="H7" s="757"/>
      <c r="I7" s="85" t="s">
        <v>93</v>
      </c>
      <c r="J7" s="85"/>
      <c r="K7" s="86" t="s">
        <v>341</v>
      </c>
      <c r="P7" s="36"/>
      <c r="Q7" s="36"/>
    </row>
    <row r="8" spans="1:24" ht="20.399999999999999" customHeight="1">
      <c r="A8" s="521" t="s">
        <v>94</v>
      </c>
      <c r="B8" s="521"/>
      <c r="C8" s="581">
        <f>'In 2'!C8</f>
        <v>0</v>
      </c>
      <c r="D8" s="581"/>
      <c r="E8" s="581"/>
      <c r="F8" s="581"/>
      <c r="G8" s="581"/>
      <c r="H8" s="581"/>
      <c r="I8" s="85" t="s">
        <v>95</v>
      </c>
      <c r="J8" s="85"/>
      <c r="K8" s="86" t="s">
        <v>341</v>
      </c>
      <c r="P8" s="36"/>
      <c r="Q8" s="36"/>
    </row>
    <row r="9" spans="1:24" ht="15" customHeight="1">
      <c r="A9" s="36"/>
      <c r="B9" s="36"/>
      <c r="C9" s="581"/>
      <c r="D9" s="581"/>
      <c r="E9" s="581"/>
      <c r="F9" s="581"/>
      <c r="G9" s="581"/>
      <c r="H9" s="581"/>
      <c r="I9" s="36"/>
      <c r="K9" s="36"/>
      <c r="P9" s="36"/>
      <c r="Q9" s="36"/>
    </row>
    <row r="10" spans="1:24" ht="19.05" customHeight="1">
      <c r="A10" s="444"/>
      <c r="B10" s="445"/>
      <c r="C10" s="385" t="s">
        <v>96</v>
      </c>
      <c r="D10" s="385"/>
      <c r="E10" s="385"/>
      <c r="F10" s="385"/>
      <c r="G10" s="385"/>
      <c r="H10" s="385" t="s">
        <v>97</v>
      </c>
      <c r="I10" s="385"/>
      <c r="J10" s="385"/>
      <c r="K10" s="385"/>
      <c r="L10" s="385"/>
      <c r="M10" s="305"/>
      <c r="P10" s="36"/>
      <c r="Q10" s="36"/>
    </row>
    <row r="11" spans="1:24" ht="19.05" customHeight="1">
      <c r="A11" s="579" t="s">
        <v>98</v>
      </c>
      <c r="B11" s="331"/>
      <c r="C11" s="366" t="s">
        <v>313</v>
      </c>
      <c r="D11" s="366"/>
      <c r="E11" s="366"/>
      <c r="F11" s="366"/>
      <c r="G11" s="366"/>
      <c r="H11" s="366" t="s">
        <v>313</v>
      </c>
      <c r="I11" s="366"/>
      <c r="J11" s="366"/>
      <c r="K11" s="366"/>
      <c r="L11" s="366"/>
      <c r="M11" s="544"/>
      <c r="P11" s="36"/>
      <c r="Q11" s="36"/>
    </row>
    <row r="12" spans="1:24" ht="19.05" customHeight="1">
      <c r="A12" s="579" t="s">
        <v>99</v>
      </c>
      <c r="B12" s="331"/>
      <c r="C12" s="366" t="s">
        <v>100</v>
      </c>
      <c r="D12" s="366"/>
      <c r="E12" s="366"/>
      <c r="F12" s="366"/>
      <c r="G12" s="366"/>
      <c r="H12" s="366" t="s">
        <v>314</v>
      </c>
      <c r="I12" s="366"/>
      <c r="J12" s="366"/>
      <c r="K12" s="366"/>
      <c r="L12" s="366"/>
      <c r="M12" s="544"/>
      <c r="P12" s="36"/>
      <c r="Q12" s="36"/>
    </row>
    <row r="13" spans="1:24" ht="19.05" customHeight="1">
      <c r="A13" s="580" t="s">
        <v>101</v>
      </c>
      <c r="B13" s="333"/>
      <c r="C13" s="563"/>
      <c r="D13" s="563"/>
      <c r="E13" s="563"/>
      <c r="F13" s="563"/>
      <c r="G13" s="563"/>
      <c r="H13" s="563"/>
      <c r="I13" s="563"/>
      <c r="J13" s="563"/>
      <c r="K13" s="563"/>
      <c r="L13" s="563"/>
      <c r="M13" s="306"/>
      <c r="P13" s="36"/>
      <c r="Q13" s="36"/>
    </row>
    <row r="14" spans="1:24">
      <c r="P14" s="36"/>
      <c r="Q14" s="36"/>
    </row>
    <row r="15" spans="1:24" ht="24" customHeight="1">
      <c r="A15" s="808" t="s">
        <v>295</v>
      </c>
      <c r="B15" s="809"/>
      <c r="C15" s="809"/>
      <c r="D15" s="809"/>
      <c r="E15" s="809"/>
      <c r="F15" s="809"/>
      <c r="G15" s="809"/>
      <c r="H15" s="810"/>
      <c r="J15" s="384" t="s">
        <v>142</v>
      </c>
      <c r="K15" s="385"/>
      <c r="L15" s="385"/>
      <c r="M15" s="305"/>
      <c r="P15" s="36"/>
      <c r="Q15" s="36"/>
    </row>
    <row r="16" spans="1:24" ht="18" customHeight="1">
      <c r="A16" s="87" t="s">
        <v>296</v>
      </c>
      <c r="B16" s="88"/>
      <c r="C16" s="836">
        <f>In!M6</f>
        <v>0</v>
      </c>
      <c r="D16" s="837"/>
      <c r="E16" s="837"/>
      <c r="F16" s="838" t="s">
        <v>297</v>
      </c>
      <c r="G16" s="838"/>
      <c r="H16" s="839"/>
      <c r="J16" s="541" t="s">
        <v>105</v>
      </c>
      <c r="K16" s="542"/>
      <c r="L16" s="542" t="s">
        <v>106</v>
      </c>
      <c r="M16" s="543"/>
      <c r="P16" s="33"/>
      <c r="Q16" s="33"/>
    </row>
    <row r="17" spans="1:18" ht="18" customHeight="1">
      <c r="A17" s="89" t="s">
        <v>32</v>
      </c>
      <c r="B17" s="90" t="s">
        <v>33</v>
      </c>
      <c r="C17" s="477" t="s">
        <v>34</v>
      </c>
      <c r="D17" s="473"/>
      <c r="E17" s="91" t="s">
        <v>6</v>
      </c>
      <c r="F17" s="91" t="s">
        <v>319</v>
      </c>
      <c r="G17" s="91" t="s">
        <v>146</v>
      </c>
      <c r="H17" s="92" t="s">
        <v>148</v>
      </c>
      <c r="J17" s="372"/>
      <c r="K17" s="373"/>
      <c r="M17" s="93"/>
      <c r="P17" s="36"/>
      <c r="Q17" s="36"/>
      <c r="R17" s="24"/>
    </row>
    <row r="18" spans="1:18" ht="18" customHeight="1">
      <c r="A18" s="54">
        <v>1</v>
      </c>
      <c r="B18" s="225" t="str">
        <f>May!C17</f>
        <v>Chỉ may trắng</v>
      </c>
      <c r="C18" s="796" t="str">
        <f>May!D17</f>
        <v>VC10000000001</v>
      </c>
      <c r="D18" s="797"/>
      <c r="E18" s="230" t="s">
        <v>49</v>
      </c>
      <c r="F18" s="290">
        <f>May!G17</f>
        <v>0</v>
      </c>
      <c r="G18" s="95"/>
      <c r="H18" s="96"/>
      <c r="J18" s="539"/>
      <c r="K18" s="540"/>
      <c r="L18" s="97"/>
      <c r="M18" s="98"/>
      <c r="P18" s="36"/>
      <c r="Q18" s="33"/>
      <c r="R18" s="24"/>
    </row>
    <row r="19" spans="1:18" ht="18" customHeight="1">
      <c r="A19" s="54">
        <v>2</v>
      </c>
      <c r="B19" s="342">
        <f>May!C19</f>
        <v>0</v>
      </c>
      <c r="C19" s="829">
        <f>May!D19</f>
        <v>0</v>
      </c>
      <c r="D19" s="830"/>
      <c r="E19" s="230" t="s">
        <v>49</v>
      </c>
      <c r="F19" s="230">
        <f>May!G19</f>
        <v>0</v>
      </c>
      <c r="G19" s="95"/>
      <c r="H19" s="30"/>
      <c r="P19" s="36"/>
      <c r="Q19" s="33"/>
      <c r="R19" s="24"/>
    </row>
    <row r="20" spans="1:18" ht="29.4" customHeight="1">
      <c r="A20" s="54">
        <v>3</v>
      </c>
      <c r="B20" s="343"/>
      <c r="C20" s="831"/>
      <c r="D20" s="832"/>
      <c r="E20" s="230" t="s">
        <v>56</v>
      </c>
      <c r="F20" s="230" t="e">
        <f>May!G20</f>
        <v>#DIV/0!</v>
      </c>
      <c r="G20" s="95"/>
      <c r="H20" s="30"/>
      <c r="J20" s="384" t="s">
        <v>149</v>
      </c>
      <c r="K20" s="385"/>
      <c r="L20" s="385"/>
      <c r="M20" s="305"/>
      <c r="P20" s="36"/>
      <c r="Q20" s="36"/>
    </row>
    <row r="21" spans="1:18" ht="28.05" customHeight="1">
      <c r="A21" s="54">
        <v>4</v>
      </c>
      <c r="B21" s="61"/>
      <c r="C21" s="585"/>
      <c r="D21" s="368"/>
      <c r="E21" s="95"/>
      <c r="F21" s="95"/>
      <c r="G21" s="95">
        <f>May!G21</f>
        <v>0</v>
      </c>
      <c r="H21" s="30"/>
      <c r="J21" s="541" t="s">
        <v>105</v>
      </c>
      <c r="K21" s="542"/>
      <c r="L21" s="542" t="s">
        <v>106</v>
      </c>
      <c r="M21" s="543"/>
      <c r="P21" s="36"/>
      <c r="Q21" s="36"/>
    </row>
    <row r="22" spans="1:18" ht="18" customHeight="1">
      <c r="A22" s="54">
        <v>5</v>
      </c>
      <c r="B22" s="61"/>
      <c r="C22" s="585"/>
      <c r="D22" s="368"/>
      <c r="E22" s="94"/>
      <c r="F22" s="95"/>
      <c r="G22" s="95"/>
      <c r="H22" s="30"/>
      <c r="J22" s="372"/>
      <c r="K22" s="373"/>
      <c r="M22" s="93"/>
      <c r="P22" s="36"/>
      <c r="Q22" s="36"/>
    </row>
    <row r="23" spans="1:18" ht="18" customHeight="1" thickBot="1">
      <c r="A23" s="70">
        <v>6</v>
      </c>
      <c r="B23" s="100"/>
      <c r="C23" s="751"/>
      <c r="D23" s="448"/>
      <c r="E23" s="101"/>
      <c r="F23" s="102"/>
      <c r="G23" s="103"/>
      <c r="H23" s="32"/>
      <c r="J23" s="539"/>
      <c r="K23" s="540"/>
      <c r="L23" s="97"/>
      <c r="M23" s="98"/>
      <c r="P23" s="36"/>
      <c r="Q23" s="36"/>
    </row>
    <row r="24" spans="1:18" ht="18" customHeight="1">
      <c r="A24" s="34"/>
      <c r="B24" s="25"/>
      <c r="C24" s="36"/>
      <c r="D24" s="36"/>
      <c r="E24" s="35"/>
      <c r="F24" s="104"/>
      <c r="J24" s="384" t="s">
        <v>330</v>
      </c>
      <c r="K24" s="385"/>
      <c r="L24" s="385"/>
      <c r="M24" s="305"/>
      <c r="P24" s="36"/>
      <c r="Q24" s="36"/>
    </row>
    <row r="25" spans="1:18" ht="18" customHeight="1">
      <c r="A25" s="34"/>
      <c r="B25" s="25"/>
      <c r="C25" s="36"/>
      <c r="D25" s="36"/>
      <c r="E25" s="35"/>
      <c r="F25" s="104"/>
      <c r="J25" s="541" t="s">
        <v>105</v>
      </c>
      <c r="K25" s="542"/>
      <c r="L25" s="542" t="s">
        <v>106</v>
      </c>
      <c r="M25" s="543"/>
      <c r="P25" s="36"/>
      <c r="Q25" s="36"/>
    </row>
    <row r="26" spans="1:18" ht="18" customHeight="1">
      <c r="A26" s="34"/>
      <c r="B26" s="25"/>
      <c r="C26" s="36"/>
      <c r="D26" s="36"/>
      <c r="E26" s="35"/>
      <c r="F26" s="104"/>
      <c r="J26" s="372"/>
      <c r="K26" s="373"/>
      <c r="M26" s="93"/>
      <c r="P26" s="36"/>
      <c r="Q26" s="36"/>
    </row>
    <row r="27" spans="1:18" ht="18" customHeight="1" thickBot="1">
      <c r="B27" s="25"/>
      <c r="C27" s="36"/>
      <c r="D27" s="395"/>
      <c r="E27" s="395"/>
      <c r="F27" s="104"/>
      <c r="G27" s="423"/>
      <c r="H27" s="423"/>
      <c r="J27" s="539"/>
      <c r="K27" s="540"/>
      <c r="L27" s="97"/>
      <c r="M27" s="98"/>
      <c r="P27" s="36"/>
      <c r="Q27" s="36"/>
    </row>
    <row r="28" spans="1:18" ht="18" customHeight="1">
      <c r="A28" s="384" t="s">
        <v>32</v>
      </c>
      <c r="B28" s="835" t="s">
        <v>7</v>
      </c>
      <c r="C28" s="790" t="s">
        <v>153</v>
      </c>
      <c r="D28" s="787"/>
      <c r="E28" s="492" t="s">
        <v>154</v>
      </c>
      <c r="F28" s="492"/>
      <c r="G28" s="385" t="s">
        <v>35</v>
      </c>
      <c r="H28" s="305" t="s">
        <v>106</v>
      </c>
      <c r="J28" s="105" t="s">
        <v>32</v>
      </c>
      <c r="K28" s="106" t="s">
        <v>114</v>
      </c>
      <c r="L28" s="107" t="s">
        <v>150</v>
      </c>
      <c r="M28" s="108" t="s">
        <v>151</v>
      </c>
      <c r="N28" s="109"/>
      <c r="P28" s="36"/>
      <c r="Q28" s="36"/>
    </row>
    <row r="29" spans="1:18" ht="18" customHeight="1">
      <c r="A29" s="541"/>
      <c r="B29" s="780"/>
      <c r="C29" s="512"/>
      <c r="D29" s="789"/>
      <c r="E29" s="90" t="s">
        <v>159</v>
      </c>
      <c r="F29" s="90" t="s">
        <v>159</v>
      </c>
      <c r="G29" s="542"/>
      <c r="H29" s="543"/>
      <c r="J29" s="54">
        <v>1</v>
      </c>
      <c r="K29" s="29"/>
      <c r="L29" s="29"/>
      <c r="M29" s="30"/>
      <c r="N29" s="109"/>
      <c r="P29" s="36"/>
      <c r="Q29" s="36"/>
    </row>
    <row r="30" spans="1:18" ht="19.95" customHeight="1">
      <c r="A30" s="734">
        <v>1</v>
      </c>
      <c r="B30" s="331" t="s">
        <v>76</v>
      </c>
      <c r="C30" s="390" t="s">
        <v>298</v>
      </c>
      <c r="D30" s="390"/>
      <c r="E30" s="528"/>
      <c r="F30" s="822"/>
      <c r="G30" s="366"/>
      <c r="H30" s="544"/>
      <c r="J30" s="54">
        <v>2</v>
      </c>
      <c r="K30" s="29"/>
      <c r="L30" s="29"/>
      <c r="M30" s="30"/>
      <c r="N30" s="110"/>
      <c r="P30" s="36"/>
      <c r="Q30" s="36"/>
    </row>
    <row r="31" spans="1:18" ht="19.95" customHeight="1">
      <c r="A31" s="732"/>
      <c r="B31" s="331"/>
      <c r="C31" s="390"/>
      <c r="D31" s="390"/>
      <c r="E31" s="528"/>
      <c r="F31" s="822"/>
      <c r="G31" s="366"/>
      <c r="H31" s="544"/>
      <c r="J31" s="54">
        <v>3</v>
      </c>
      <c r="K31" s="29"/>
      <c r="L31" s="29"/>
      <c r="M31" s="30"/>
      <c r="N31" s="110"/>
      <c r="P31" s="33"/>
      <c r="Q31" s="36"/>
    </row>
    <row r="32" spans="1:18" ht="19.95" customHeight="1">
      <c r="A32" s="815"/>
      <c r="B32" s="331"/>
      <c r="C32" s="390"/>
      <c r="D32" s="390"/>
      <c r="E32" s="528"/>
      <c r="F32" s="822"/>
      <c r="G32" s="366"/>
      <c r="H32" s="544"/>
      <c r="J32" s="54">
        <v>4</v>
      </c>
      <c r="K32" s="29"/>
      <c r="L32" s="29"/>
      <c r="M32" s="30"/>
      <c r="N32" s="110"/>
      <c r="P32" s="36"/>
      <c r="Q32" s="36"/>
    </row>
    <row r="33" spans="1:17" ht="19.95" customHeight="1">
      <c r="A33" s="734">
        <v>2</v>
      </c>
      <c r="B33" s="331" t="s">
        <v>300</v>
      </c>
      <c r="C33" s="833" t="s">
        <v>299</v>
      </c>
      <c r="D33" s="833"/>
      <c r="E33" s="528"/>
      <c r="F33" s="782"/>
      <c r="G33" s="366"/>
      <c r="H33" s="544"/>
      <c r="J33" s="70">
        <v>5</v>
      </c>
      <c r="K33" s="31"/>
      <c r="L33" s="31"/>
      <c r="M33" s="69"/>
      <c r="N33" s="110"/>
      <c r="P33" s="36"/>
      <c r="Q33" s="36"/>
    </row>
    <row r="34" spans="1:17" ht="19.95" customHeight="1">
      <c r="A34" s="815"/>
      <c r="B34" s="331"/>
      <c r="C34" s="833"/>
      <c r="D34" s="833"/>
      <c r="E34" s="528"/>
      <c r="F34" s="782"/>
      <c r="G34" s="366"/>
      <c r="H34" s="544"/>
      <c r="J34" s="83"/>
      <c r="K34" s="27"/>
      <c r="L34" s="83"/>
      <c r="M34" s="83"/>
      <c r="N34" s="109"/>
      <c r="P34" s="36"/>
      <c r="Q34" s="36"/>
    </row>
    <row r="35" spans="1:17" ht="23.4" customHeight="1">
      <c r="A35" s="734">
        <v>3</v>
      </c>
      <c r="B35" s="331" t="s">
        <v>301</v>
      </c>
      <c r="C35" s="833" t="s">
        <v>302</v>
      </c>
      <c r="D35" s="833"/>
      <c r="E35" s="528"/>
      <c r="F35" s="782"/>
      <c r="G35" s="366"/>
      <c r="H35" s="544"/>
      <c r="J35" s="384" t="s">
        <v>155</v>
      </c>
      <c r="K35" s="320" t="s">
        <v>156</v>
      </c>
      <c r="L35" s="385" t="s">
        <v>157</v>
      </c>
      <c r="M35" s="305" t="s">
        <v>158</v>
      </c>
      <c r="N35" s="110"/>
      <c r="P35" s="833"/>
      <c r="Q35" s="833"/>
    </row>
    <row r="36" spans="1:17" ht="23.4" customHeight="1">
      <c r="A36" s="815"/>
      <c r="B36" s="331"/>
      <c r="C36" s="833"/>
      <c r="D36" s="833"/>
      <c r="E36" s="528"/>
      <c r="F36" s="782"/>
      <c r="G36" s="366"/>
      <c r="H36" s="544"/>
      <c r="J36" s="541"/>
      <c r="K36" s="398"/>
      <c r="L36" s="542"/>
      <c r="M36" s="543"/>
      <c r="N36" s="110"/>
      <c r="P36" s="833"/>
      <c r="Q36" s="833"/>
    </row>
    <row r="37" spans="1:17" ht="19.95" customHeight="1">
      <c r="A37" s="734">
        <v>4</v>
      </c>
      <c r="B37" s="331" t="s">
        <v>303</v>
      </c>
      <c r="C37" s="833"/>
      <c r="D37" s="833"/>
      <c r="E37" s="528"/>
      <c r="F37" s="782"/>
      <c r="G37" s="366"/>
      <c r="H37" s="544"/>
      <c r="J37" s="365"/>
      <c r="K37" s="366"/>
      <c r="L37" s="366"/>
      <c r="M37" s="544"/>
      <c r="N37" s="110"/>
      <c r="P37" s="34"/>
      <c r="Q37" s="34"/>
    </row>
    <row r="38" spans="1:17" ht="19.95" customHeight="1">
      <c r="A38" s="815"/>
      <c r="B38" s="331"/>
      <c r="C38" s="833"/>
      <c r="D38" s="833"/>
      <c r="E38" s="528"/>
      <c r="F38" s="782"/>
      <c r="G38" s="366"/>
      <c r="H38" s="544"/>
      <c r="J38" s="365"/>
      <c r="K38" s="366"/>
      <c r="L38" s="366"/>
      <c r="M38" s="544"/>
      <c r="N38" s="110"/>
      <c r="P38" s="34"/>
      <c r="Q38" s="34"/>
    </row>
    <row r="39" spans="1:17" ht="19.95" customHeight="1">
      <c r="A39" s="734"/>
      <c r="B39" s="331"/>
      <c r="C39" s="390"/>
      <c r="D39" s="390"/>
      <c r="E39" s="528"/>
      <c r="F39" s="782"/>
      <c r="G39" s="366"/>
      <c r="H39" s="544"/>
      <c r="J39" s="365"/>
      <c r="K39" s="366"/>
      <c r="L39" s="366"/>
      <c r="M39" s="544"/>
      <c r="N39" s="110"/>
      <c r="P39" s="34"/>
      <c r="Q39" s="34"/>
    </row>
    <row r="40" spans="1:17" ht="19.95" customHeight="1">
      <c r="A40" s="815"/>
      <c r="B40" s="331"/>
      <c r="C40" s="390"/>
      <c r="D40" s="390"/>
      <c r="E40" s="528"/>
      <c r="F40" s="782"/>
      <c r="G40" s="366"/>
      <c r="H40" s="544"/>
      <c r="J40" s="365"/>
      <c r="K40" s="366"/>
      <c r="L40" s="366"/>
      <c r="M40" s="544"/>
      <c r="N40" s="110"/>
      <c r="P40" s="34"/>
      <c r="Q40" s="34"/>
    </row>
    <row r="41" spans="1:17" ht="19.95" customHeight="1">
      <c r="A41" s="734"/>
      <c r="B41" s="331"/>
      <c r="C41" s="390"/>
      <c r="D41" s="390"/>
      <c r="E41" s="528"/>
      <c r="F41" s="782"/>
      <c r="G41" s="366"/>
      <c r="H41" s="544"/>
      <c r="J41" s="365"/>
      <c r="K41" s="366"/>
      <c r="L41" s="366"/>
      <c r="M41" s="544"/>
      <c r="N41" s="110"/>
      <c r="P41" s="34"/>
      <c r="Q41" s="34"/>
    </row>
    <row r="42" spans="1:17" ht="19.95" customHeight="1">
      <c r="A42" s="815"/>
      <c r="B42" s="331"/>
      <c r="C42" s="390"/>
      <c r="D42" s="390"/>
      <c r="E42" s="528"/>
      <c r="F42" s="782"/>
      <c r="G42" s="366"/>
      <c r="H42" s="544"/>
      <c r="J42" s="365"/>
      <c r="K42" s="366"/>
      <c r="L42" s="366"/>
      <c r="M42" s="544"/>
      <c r="N42" s="110"/>
      <c r="P42" s="34"/>
      <c r="Q42" s="34"/>
    </row>
    <row r="43" spans="1:17" ht="19.95" customHeight="1">
      <c r="A43" s="734"/>
      <c r="B43" s="366"/>
      <c r="C43" s="833"/>
      <c r="D43" s="833"/>
      <c r="E43" s="528"/>
      <c r="F43" s="782"/>
      <c r="G43" s="366"/>
      <c r="H43" s="544"/>
      <c r="J43" s="541"/>
      <c r="K43" s="542"/>
      <c r="L43" s="542"/>
      <c r="M43" s="543"/>
      <c r="N43" s="110"/>
      <c r="P43" s="34"/>
      <c r="Q43" s="34"/>
    </row>
    <row r="44" spans="1:17" ht="19.95" customHeight="1">
      <c r="A44" s="815"/>
      <c r="B44" s="366"/>
      <c r="C44" s="833"/>
      <c r="D44" s="833"/>
      <c r="E44" s="528"/>
      <c r="F44" s="782"/>
      <c r="G44" s="366"/>
      <c r="H44" s="544"/>
      <c r="J44" s="541"/>
      <c r="K44" s="542"/>
      <c r="L44" s="542"/>
      <c r="M44" s="543"/>
      <c r="N44" s="110"/>
      <c r="P44" s="34"/>
      <c r="Q44" s="34"/>
    </row>
    <row r="45" spans="1:17" ht="19.95" customHeight="1">
      <c r="A45" s="734"/>
      <c r="B45" s="366"/>
      <c r="C45" s="833"/>
      <c r="D45" s="833"/>
      <c r="E45" s="528"/>
      <c r="F45" s="782"/>
      <c r="G45" s="366"/>
      <c r="H45" s="544"/>
      <c r="J45" s="541"/>
      <c r="K45" s="542"/>
      <c r="L45" s="542"/>
      <c r="M45" s="543"/>
      <c r="N45" s="110"/>
      <c r="P45" s="34"/>
      <c r="Q45" s="34"/>
    </row>
    <row r="46" spans="1:17" ht="19.95" customHeight="1">
      <c r="A46" s="815"/>
      <c r="B46" s="366"/>
      <c r="C46" s="833"/>
      <c r="D46" s="833"/>
      <c r="E46" s="528"/>
      <c r="F46" s="782"/>
      <c r="G46" s="366"/>
      <c r="H46" s="544"/>
      <c r="J46" s="750"/>
      <c r="K46" s="563"/>
      <c r="L46" s="563"/>
      <c r="M46" s="306"/>
      <c r="N46" s="110"/>
      <c r="P46" s="34"/>
      <c r="Q46" s="34"/>
    </row>
    <row r="47" spans="1:17" ht="19.95" customHeight="1">
      <c r="A47" s="734"/>
      <c r="B47" s="366"/>
      <c r="C47" s="833"/>
      <c r="D47" s="833"/>
      <c r="E47" s="528"/>
      <c r="F47" s="782"/>
      <c r="G47" s="366"/>
      <c r="H47" s="544"/>
      <c r="J47" s="83"/>
      <c r="K47" s="83"/>
      <c r="L47" s="83"/>
      <c r="M47" s="83"/>
      <c r="N47" s="110"/>
      <c r="P47" s="34"/>
      <c r="Q47" s="34"/>
    </row>
    <row r="48" spans="1:17" ht="19.95" customHeight="1">
      <c r="A48" s="815"/>
      <c r="B48" s="366"/>
      <c r="C48" s="833"/>
      <c r="D48" s="833"/>
      <c r="E48" s="528"/>
      <c r="F48" s="782"/>
      <c r="G48" s="366"/>
      <c r="H48" s="544"/>
      <c r="J48" s="384" t="s">
        <v>116</v>
      </c>
      <c r="K48" s="385"/>
      <c r="L48" s="385"/>
      <c r="M48" s="305"/>
      <c r="N48" s="110"/>
      <c r="P48" s="34"/>
      <c r="Q48" s="34"/>
    </row>
    <row r="49" spans="1:17" ht="19.95" customHeight="1">
      <c r="A49" s="734"/>
      <c r="B49" s="366"/>
      <c r="C49" s="833"/>
      <c r="D49" s="833"/>
      <c r="E49" s="528"/>
      <c r="F49" s="782"/>
      <c r="G49" s="366"/>
      <c r="H49" s="544"/>
      <c r="J49" s="503"/>
      <c r="K49" s="463"/>
      <c r="L49" s="463"/>
      <c r="M49" s="533"/>
      <c r="N49" s="110"/>
      <c r="P49" s="34"/>
      <c r="Q49" s="34"/>
    </row>
    <row r="50" spans="1:17" ht="19.95" customHeight="1">
      <c r="A50" s="815"/>
      <c r="B50" s="366"/>
      <c r="C50" s="833"/>
      <c r="D50" s="833"/>
      <c r="E50" s="528"/>
      <c r="F50" s="782"/>
      <c r="G50" s="366"/>
      <c r="H50" s="544"/>
      <c r="J50" s="744"/>
      <c r="K50" s="745"/>
      <c r="L50" s="745"/>
      <c r="M50" s="746"/>
      <c r="N50" s="110"/>
      <c r="P50" s="34"/>
      <c r="Q50" s="34"/>
    </row>
    <row r="51" spans="1:17" ht="19.95" customHeight="1">
      <c r="A51" s="734"/>
      <c r="B51" s="366"/>
      <c r="C51" s="833"/>
      <c r="D51" s="833"/>
      <c r="E51" s="528"/>
      <c r="F51" s="782"/>
      <c r="G51" s="366"/>
      <c r="H51" s="544"/>
      <c r="J51" s="744"/>
      <c r="K51" s="745"/>
      <c r="L51" s="745"/>
      <c r="M51" s="746"/>
      <c r="N51" s="110"/>
      <c r="P51" s="34"/>
      <c r="Q51" s="34"/>
    </row>
    <row r="52" spans="1:17" ht="19.95" customHeight="1">
      <c r="A52" s="815"/>
      <c r="B52" s="366"/>
      <c r="C52" s="833"/>
      <c r="D52" s="833"/>
      <c r="E52" s="528"/>
      <c r="F52" s="782"/>
      <c r="G52" s="366"/>
      <c r="H52" s="544"/>
      <c r="J52" s="744"/>
      <c r="K52" s="745"/>
      <c r="L52" s="745"/>
      <c r="M52" s="746"/>
      <c r="N52" s="110"/>
      <c r="P52" s="34"/>
      <c r="Q52" s="34"/>
    </row>
    <row r="53" spans="1:17" ht="19.95" customHeight="1">
      <c r="A53" s="734"/>
      <c r="B53" s="366"/>
      <c r="C53" s="833"/>
      <c r="D53" s="833"/>
      <c r="E53" s="528"/>
      <c r="F53" s="782"/>
      <c r="G53" s="366"/>
      <c r="H53" s="544"/>
      <c r="J53" s="744"/>
      <c r="K53" s="745"/>
      <c r="L53" s="745"/>
      <c r="M53" s="746"/>
      <c r="N53" s="110"/>
      <c r="P53" s="34"/>
      <c r="Q53" s="34"/>
    </row>
    <row r="54" spans="1:17" ht="19.95" customHeight="1">
      <c r="A54" s="733"/>
      <c r="B54" s="350"/>
      <c r="C54" s="834"/>
      <c r="D54" s="834"/>
      <c r="E54" s="530"/>
      <c r="F54" s="783"/>
      <c r="G54" s="350"/>
      <c r="H54" s="545"/>
      <c r="J54" s="747"/>
      <c r="K54" s="748"/>
      <c r="L54" s="748"/>
      <c r="M54" s="749"/>
      <c r="N54" s="110"/>
      <c r="P54" s="34"/>
      <c r="Q54" s="34"/>
    </row>
    <row r="55" spans="1:17" ht="18" customHeight="1">
      <c r="B55" s="115"/>
      <c r="C55" s="116"/>
      <c r="D55" s="116"/>
      <c r="E55" s="116"/>
      <c r="F55" s="116"/>
      <c r="G55" s="116"/>
      <c r="H55" s="116"/>
      <c r="N55" s="110"/>
      <c r="P55" s="34"/>
      <c r="Q55" s="34"/>
    </row>
    <row r="56" spans="1:17" ht="18" customHeight="1">
      <c r="A56" s="384" t="s">
        <v>304</v>
      </c>
      <c r="B56" s="385"/>
      <c r="C56" s="385"/>
      <c r="D56" s="385"/>
      <c r="E56" s="385"/>
      <c r="F56" s="385"/>
      <c r="G56" s="385"/>
      <c r="H56" s="305"/>
      <c r="I56" s="34"/>
      <c r="J56" s="318" t="s">
        <v>327</v>
      </c>
      <c r="K56" s="320"/>
      <c r="L56" s="320" t="s">
        <v>328</v>
      </c>
      <c r="M56" s="396"/>
    </row>
    <row r="57" spans="1:17" ht="18" customHeight="1">
      <c r="A57" s="541" t="s">
        <v>126</v>
      </c>
      <c r="B57" s="542"/>
      <c r="C57" s="542"/>
      <c r="D57" s="542"/>
      <c r="E57" s="542" t="s">
        <v>305</v>
      </c>
      <c r="F57" s="542"/>
      <c r="G57" s="542"/>
      <c r="H57" s="543"/>
      <c r="J57" s="397"/>
      <c r="K57" s="398"/>
      <c r="L57" s="398"/>
      <c r="M57" s="399"/>
    </row>
    <row r="58" spans="1:17" ht="18" customHeight="1">
      <c r="A58" s="365"/>
      <c r="B58" s="366"/>
      <c r="C58" s="366"/>
      <c r="D58" s="366"/>
      <c r="E58" s="366"/>
      <c r="F58" s="366"/>
      <c r="G58" s="366"/>
      <c r="H58" s="544"/>
      <c r="J58" s="397"/>
      <c r="K58" s="398"/>
      <c r="L58" s="398"/>
      <c r="M58" s="399"/>
    </row>
    <row r="59" spans="1:17" ht="18" customHeight="1">
      <c r="A59" s="365"/>
      <c r="B59" s="366"/>
      <c r="C59" s="366"/>
      <c r="D59" s="366"/>
      <c r="E59" s="366"/>
      <c r="F59" s="366"/>
      <c r="G59" s="366"/>
      <c r="H59" s="544"/>
      <c r="J59" s="397"/>
      <c r="K59" s="398"/>
      <c r="L59" s="398"/>
      <c r="M59" s="399"/>
    </row>
    <row r="60" spans="1:17" ht="18" customHeight="1">
      <c r="A60" s="349"/>
      <c r="B60" s="350"/>
      <c r="C60" s="350"/>
      <c r="D60" s="350"/>
      <c r="E60" s="350"/>
      <c r="F60" s="350"/>
      <c r="G60" s="350"/>
      <c r="H60" s="545"/>
      <c r="J60" s="400"/>
      <c r="K60" s="401"/>
      <c r="L60" s="401"/>
      <c r="M60" s="402"/>
    </row>
    <row r="63" spans="1:17">
      <c r="D63" s="423"/>
      <c r="E63" s="423"/>
      <c r="F63" s="423"/>
      <c r="G63" s="423"/>
    </row>
    <row r="64" spans="1:17">
      <c r="B64" s="376"/>
      <c r="C64" s="376"/>
      <c r="D64" s="467"/>
      <c r="E64" s="467"/>
      <c r="F64" s="467"/>
      <c r="G64" s="467"/>
    </row>
    <row r="65" spans="2:7">
      <c r="B65" s="376"/>
      <c r="C65" s="376"/>
      <c r="D65" s="467"/>
      <c r="E65" s="467"/>
      <c r="F65" s="470"/>
      <c r="G65" s="470"/>
    </row>
    <row r="66" spans="2:7">
      <c r="B66" s="376"/>
      <c r="C66" s="376"/>
      <c r="D66" s="467"/>
      <c r="E66" s="467"/>
      <c r="F66" s="468"/>
      <c r="G66" s="468"/>
    </row>
    <row r="67" spans="2:7">
      <c r="B67" s="376"/>
      <c r="C67" s="376"/>
      <c r="D67" s="467"/>
      <c r="E67" s="467"/>
      <c r="F67" s="467"/>
      <c r="G67" s="467"/>
    </row>
    <row r="68" spans="2:7">
      <c r="B68" s="376"/>
      <c r="C68" s="376"/>
      <c r="D68" s="467"/>
      <c r="E68" s="467"/>
      <c r="F68" s="467"/>
      <c r="G68" s="467"/>
    </row>
    <row r="69" spans="2:7">
      <c r="B69" s="376"/>
      <c r="C69" s="376"/>
      <c r="D69" s="467"/>
      <c r="E69" s="467"/>
      <c r="F69" s="468"/>
      <c r="G69" s="468"/>
    </row>
    <row r="70" spans="2:7">
      <c r="B70" s="376"/>
      <c r="C70" s="376"/>
      <c r="D70" s="467"/>
      <c r="E70" s="467"/>
      <c r="F70" s="468"/>
      <c r="G70" s="468"/>
    </row>
    <row r="71" spans="2:7">
      <c r="B71" s="376"/>
      <c r="C71" s="376"/>
      <c r="D71" s="467"/>
      <c r="E71" s="467"/>
      <c r="F71" s="468"/>
      <c r="G71" s="468"/>
    </row>
    <row r="72" spans="2:7">
      <c r="B72" s="376"/>
      <c r="C72" s="376"/>
      <c r="D72" s="467"/>
      <c r="E72" s="467"/>
      <c r="F72" s="469"/>
      <c r="G72" s="469"/>
    </row>
  </sheetData>
  <mergeCells count="209">
    <mergeCell ref="K1:M1"/>
    <mergeCell ref="K2:M2"/>
    <mergeCell ref="K3:M3"/>
    <mergeCell ref="A5:B5"/>
    <mergeCell ref="C5:H5"/>
    <mergeCell ref="A6:B6"/>
    <mergeCell ref="C6:H6"/>
    <mergeCell ref="A7:B7"/>
    <mergeCell ref="C7:H7"/>
    <mergeCell ref="B19:B20"/>
    <mergeCell ref="A8:B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A13:B13"/>
    <mergeCell ref="C13:G13"/>
    <mergeCell ref="H13:M13"/>
    <mergeCell ref="A15:H15"/>
    <mergeCell ref="J15:M15"/>
    <mergeCell ref="C16:E16"/>
    <mergeCell ref="F16:H16"/>
    <mergeCell ref="J16:K16"/>
    <mergeCell ref="L16:M16"/>
    <mergeCell ref="G41:G42"/>
    <mergeCell ref="G43:G44"/>
    <mergeCell ref="G45:G46"/>
    <mergeCell ref="G47:G48"/>
    <mergeCell ref="G49:G50"/>
    <mergeCell ref="G51:G52"/>
    <mergeCell ref="C19:D20"/>
    <mergeCell ref="J20:M20"/>
    <mergeCell ref="C21:D21"/>
    <mergeCell ref="J21:K21"/>
    <mergeCell ref="L21:M21"/>
    <mergeCell ref="C22:D22"/>
    <mergeCell ref="H45:H46"/>
    <mergeCell ref="F49:F50"/>
    <mergeCell ref="F51:F52"/>
    <mergeCell ref="G39:G40"/>
    <mergeCell ref="H47:H48"/>
    <mergeCell ref="H49:H50"/>
    <mergeCell ref="H51:H52"/>
    <mergeCell ref="J35:J36"/>
    <mergeCell ref="J37:J38"/>
    <mergeCell ref="J39:J40"/>
    <mergeCell ref="J41:J42"/>
    <mergeCell ref="J43:J44"/>
    <mergeCell ref="J56:K57"/>
    <mergeCell ref="L56:M57"/>
    <mergeCell ref="A58:D60"/>
    <mergeCell ref="E58:H60"/>
    <mergeCell ref="J58:K60"/>
    <mergeCell ref="L58:M60"/>
    <mergeCell ref="C23:D23"/>
    <mergeCell ref="D27:E27"/>
    <mergeCell ref="G27:H27"/>
    <mergeCell ref="E28:F28"/>
    <mergeCell ref="J48:M48"/>
    <mergeCell ref="J49:M49"/>
    <mergeCell ref="J50:M50"/>
    <mergeCell ref="J51:M51"/>
    <mergeCell ref="J52:M52"/>
    <mergeCell ref="F30:F32"/>
    <mergeCell ref="F33:F34"/>
    <mergeCell ref="F35:F36"/>
    <mergeCell ref="F37:F38"/>
    <mergeCell ref="F39:F40"/>
    <mergeCell ref="F41:F42"/>
    <mergeCell ref="F43:F44"/>
    <mergeCell ref="F45:F46"/>
    <mergeCell ref="F47:F48"/>
    <mergeCell ref="A56:H56"/>
    <mergeCell ref="A57:D57"/>
    <mergeCell ref="E57:H57"/>
    <mergeCell ref="D63:E63"/>
    <mergeCell ref="F63:G63"/>
    <mergeCell ref="B64:C64"/>
    <mergeCell ref="D64:E64"/>
    <mergeCell ref="F64:G64"/>
    <mergeCell ref="F53:F54"/>
    <mergeCell ref="G53:G54"/>
    <mergeCell ref="H53:H54"/>
    <mergeCell ref="B65:C65"/>
    <mergeCell ref="D65:E65"/>
    <mergeCell ref="F65:G65"/>
    <mergeCell ref="B66:C66"/>
    <mergeCell ref="D66:E66"/>
    <mergeCell ref="F66:G66"/>
    <mergeCell ref="B67:C67"/>
    <mergeCell ref="D67:E67"/>
    <mergeCell ref="F67:G67"/>
    <mergeCell ref="B68:C68"/>
    <mergeCell ref="D68:E68"/>
    <mergeCell ref="F68:G68"/>
    <mergeCell ref="B69:C69"/>
    <mergeCell ref="D69:E69"/>
    <mergeCell ref="F69:G69"/>
    <mergeCell ref="B70:C70"/>
    <mergeCell ref="D70:E70"/>
    <mergeCell ref="F70:G70"/>
    <mergeCell ref="B71:C71"/>
    <mergeCell ref="D71:E71"/>
    <mergeCell ref="F71:G71"/>
    <mergeCell ref="B72:C72"/>
    <mergeCell ref="D72:E72"/>
    <mergeCell ref="F72:G72"/>
    <mergeCell ref="A28:A29"/>
    <mergeCell ref="A30:A32"/>
    <mergeCell ref="A33:A34"/>
    <mergeCell ref="A35:A36"/>
    <mergeCell ref="A37:A38"/>
    <mergeCell ref="A39:A40"/>
    <mergeCell ref="A41:A42"/>
    <mergeCell ref="A43:A44"/>
    <mergeCell ref="A45:A46"/>
    <mergeCell ref="A47:A48"/>
    <mergeCell ref="A49:A50"/>
    <mergeCell ref="A51:A52"/>
    <mergeCell ref="A53:A54"/>
    <mergeCell ref="B28:B29"/>
    <mergeCell ref="B30:B32"/>
    <mergeCell ref="B33:B34"/>
    <mergeCell ref="B35:B36"/>
    <mergeCell ref="B37:B38"/>
    <mergeCell ref="B39:B40"/>
    <mergeCell ref="B41:B42"/>
    <mergeCell ref="B43:B44"/>
    <mergeCell ref="B45:B46"/>
    <mergeCell ref="B47:B48"/>
    <mergeCell ref="B49:B50"/>
    <mergeCell ref="B51:B52"/>
    <mergeCell ref="B53:B54"/>
    <mergeCell ref="E39:E40"/>
    <mergeCell ref="E41:E42"/>
    <mergeCell ref="E43:E44"/>
    <mergeCell ref="E45:E46"/>
    <mergeCell ref="E47:E48"/>
    <mergeCell ref="E49:E50"/>
    <mergeCell ref="E51:E52"/>
    <mergeCell ref="E53:E54"/>
    <mergeCell ref="C47:D48"/>
    <mergeCell ref="C49:D50"/>
    <mergeCell ref="C51:D52"/>
    <mergeCell ref="C53:D54"/>
    <mergeCell ref="J53:M53"/>
    <mergeCell ref="J54:M54"/>
    <mergeCell ref="K41:K42"/>
    <mergeCell ref="K43:K44"/>
    <mergeCell ref="K45:K46"/>
    <mergeCell ref="L35:L36"/>
    <mergeCell ref="L37:L38"/>
    <mergeCell ref="L39:L40"/>
    <mergeCell ref="L41:L42"/>
    <mergeCell ref="L43:L44"/>
    <mergeCell ref="L45:L46"/>
    <mergeCell ref="H37:H38"/>
    <mergeCell ref="H39:H40"/>
    <mergeCell ref="M41:M42"/>
    <mergeCell ref="M43:M44"/>
    <mergeCell ref="M45:M46"/>
    <mergeCell ref="A1:B3"/>
    <mergeCell ref="C1:J3"/>
    <mergeCell ref="J17:K18"/>
    <mergeCell ref="J22:K23"/>
    <mergeCell ref="C28:D29"/>
    <mergeCell ref="C30:D32"/>
    <mergeCell ref="C33:D34"/>
    <mergeCell ref="C35:D36"/>
    <mergeCell ref="C37:D38"/>
    <mergeCell ref="C39:D40"/>
    <mergeCell ref="C41:D42"/>
    <mergeCell ref="C43:D44"/>
    <mergeCell ref="C45:D46"/>
    <mergeCell ref="K35:K36"/>
    <mergeCell ref="K37:K38"/>
    <mergeCell ref="K39:K40"/>
    <mergeCell ref="H28:H29"/>
    <mergeCell ref="H30:H32"/>
    <mergeCell ref="J45:J46"/>
    <mergeCell ref="H33:H34"/>
    <mergeCell ref="H41:H42"/>
    <mergeCell ref="H43:H44"/>
    <mergeCell ref="J24:M24"/>
    <mergeCell ref="J25:K25"/>
    <mergeCell ref="L25:M25"/>
    <mergeCell ref="J26:K27"/>
    <mergeCell ref="P35:Q36"/>
    <mergeCell ref="C8:H9"/>
    <mergeCell ref="M35:M36"/>
    <mergeCell ref="M37:M38"/>
    <mergeCell ref="M39:M40"/>
    <mergeCell ref="E30:E32"/>
    <mergeCell ref="E33:E34"/>
    <mergeCell ref="E35:E36"/>
    <mergeCell ref="E37:E38"/>
    <mergeCell ref="G28:G29"/>
    <mergeCell ref="G30:G32"/>
    <mergeCell ref="G33:G34"/>
    <mergeCell ref="G35:G36"/>
    <mergeCell ref="C17:D17"/>
    <mergeCell ref="C18:D18"/>
    <mergeCell ref="G37:G38"/>
    <mergeCell ref="H35:H36"/>
  </mergeCells>
  <conditionalFormatting sqref="C23:C26">
    <cfRule type="duplicateValues" dxfId="23" priority="7" stopIfTrue="1"/>
    <cfRule type="duplicateValues" dxfId="22" priority="8" stopIfTrue="1"/>
    <cfRule type="duplicateValues" dxfId="21" priority="9" stopIfTrue="1"/>
    <cfRule type="duplicateValues" dxfId="20" priority="10" stopIfTrue="1"/>
    <cfRule type="duplicateValues" dxfId="19" priority="11" stopIfTrue="1"/>
    <cfRule type="duplicateValues" dxfId="18" priority="12" stopIfTrue="1"/>
  </conditionalFormatting>
  <conditionalFormatting sqref="C27">
    <cfRule type="duplicateValues" dxfId="17" priority="1" stopIfTrue="1"/>
    <cfRule type="duplicateValues" dxfId="16" priority="2" stopIfTrue="1"/>
    <cfRule type="duplicateValues" dxfId="15" priority="3" stopIfTrue="1"/>
    <cfRule type="duplicateValues" dxfId="14" priority="4" stopIfTrue="1"/>
    <cfRule type="duplicateValues" dxfId="13" priority="5" stopIfTrue="1"/>
    <cfRule type="duplicateValues" dxfId="12" priority="6" stopIfTrue="1"/>
  </conditionalFormatting>
  <printOptions horizontalCentered="1"/>
  <pageMargins left="0.23611111111111099" right="0.23622047244094499" top="0.35416666666666702" bottom="0.31458333333333299" header="0.31496062992126" footer="0.31496062992126"/>
  <pageSetup paperSize="9" scale="68" orientation="portrait" horizontalDpi="300" verticalDpi="3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00B0F0"/>
    <pageSetUpPr fitToPage="1"/>
  </sheetPr>
  <dimension ref="A1:X66"/>
  <sheetViews>
    <sheetView showGridLines="0" view="pageBreakPreview" zoomScaleNormal="100" zoomScaleSheetLayoutView="100" zoomScalePageLayoutView="85" workbookViewId="0">
      <selection activeCell="K6" sqref="K6"/>
    </sheetView>
  </sheetViews>
  <sheetFormatPr defaultColWidth="8.88671875" defaultRowHeight="13.8"/>
  <cols>
    <col min="1" max="1" width="4" style="26" customWidth="1"/>
    <col min="2" max="2" width="16.44140625" style="26" customWidth="1"/>
    <col min="3" max="3" width="14.88671875" style="26" customWidth="1"/>
    <col min="4" max="4" width="13" style="26" customWidth="1"/>
    <col min="5" max="6" width="10.44140625" style="26" customWidth="1"/>
    <col min="7" max="8" width="10.33203125" style="26" customWidth="1"/>
    <col min="9" max="9" width="1.77734375" style="26" customWidth="1"/>
    <col min="10" max="10" width="10.109375" style="26" customWidth="1"/>
    <col min="11" max="11" width="11.109375" style="26" customWidth="1"/>
    <col min="12" max="12" width="9.88671875" style="26" customWidth="1"/>
    <col min="13" max="13" width="13.33203125" style="26" customWidth="1"/>
    <col min="14" max="14" width="8.88671875" style="26"/>
    <col min="15" max="15" width="9.88671875" style="26" customWidth="1"/>
    <col min="16" max="16" width="50.6640625" style="26" customWidth="1"/>
    <col min="17" max="17" width="35.5546875" style="26" customWidth="1"/>
    <col min="18" max="16384" width="8.88671875" style="26"/>
  </cols>
  <sheetData>
    <row r="1" spans="1:24" ht="19.05" customHeight="1">
      <c r="A1" s="758"/>
      <c r="B1" s="759"/>
      <c r="C1" s="764" t="s">
        <v>139</v>
      </c>
      <c r="D1" s="765"/>
      <c r="E1" s="765"/>
      <c r="F1" s="765"/>
      <c r="G1" s="765"/>
      <c r="H1" s="765"/>
      <c r="I1" s="765"/>
      <c r="J1" s="766"/>
      <c r="K1" s="582" t="s">
        <v>140</v>
      </c>
      <c r="L1" s="583"/>
      <c r="M1" s="584"/>
    </row>
    <row r="2" spans="1:24" ht="19.05" customHeight="1">
      <c r="A2" s="760"/>
      <c r="B2" s="761"/>
      <c r="C2" s="767"/>
      <c r="D2" s="465"/>
      <c r="E2" s="465"/>
      <c r="F2" s="465"/>
      <c r="G2" s="465"/>
      <c r="H2" s="465"/>
      <c r="I2" s="465"/>
      <c r="J2" s="511"/>
      <c r="K2" s="585" t="s">
        <v>87</v>
      </c>
      <c r="L2" s="586"/>
      <c r="M2" s="587"/>
    </row>
    <row r="3" spans="1:24" ht="19.05" customHeight="1">
      <c r="A3" s="762"/>
      <c r="B3" s="763"/>
      <c r="C3" s="768"/>
      <c r="D3" s="769"/>
      <c r="E3" s="769"/>
      <c r="F3" s="769"/>
      <c r="G3" s="769"/>
      <c r="H3" s="769"/>
      <c r="I3" s="769"/>
      <c r="J3" s="770"/>
      <c r="K3" s="588" t="s">
        <v>88</v>
      </c>
      <c r="L3" s="589"/>
      <c r="M3" s="590"/>
      <c r="P3" s="36"/>
      <c r="Q3" s="36"/>
    </row>
    <row r="4" spans="1:24" ht="15" customHeight="1">
      <c r="A4" s="34"/>
      <c r="C4" s="82"/>
      <c r="P4" s="36"/>
      <c r="Q4" s="36"/>
    </row>
    <row r="5" spans="1:24" ht="15" customHeight="1">
      <c r="A5" s="518" t="s">
        <v>89</v>
      </c>
      <c r="B5" s="518"/>
      <c r="C5" s="581">
        <f>'In 2'!C5</f>
        <v>0</v>
      </c>
      <c r="D5" s="581"/>
      <c r="E5" s="581"/>
      <c r="F5" s="581"/>
      <c r="G5" s="581"/>
      <c r="H5" s="581"/>
      <c r="I5" s="83" t="s">
        <v>3</v>
      </c>
      <c r="J5" s="83"/>
      <c r="K5" s="269">
        <f>'In 2'!K5</f>
        <v>0</v>
      </c>
      <c r="P5" s="36"/>
      <c r="Q5" s="36"/>
      <c r="U5" s="26" t="s">
        <v>59</v>
      </c>
      <c r="V5" s="26" t="s">
        <v>60</v>
      </c>
      <c r="W5" s="26" t="s">
        <v>61</v>
      </c>
      <c r="X5" s="26" t="s">
        <v>62</v>
      </c>
    </row>
    <row r="6" spans="1:24" ht="15" customHeight="1">
      <c r="A6" s="521" t="s">
        <v>90</v>
      </c>
      <c r="B6" s="521"/>
      <c r="C6" s="757">
        <f>'In 2'!C6</f>
        <v>0</v>
      </c>
      <c r="D6" s="757"/>
      <c r="E6" s="757"/>
      <c r="F6" s="757"/>
      <c r="G6" s="757"/>
      <c r="H6" s="757"/>
      <c r="I6" s="83" t="s">
        <v>141</v>
      </c>
      <c r="J6" s="83"/>
      <c r="K6" s="36" t="s">
        <v>76</v>
      </c>
      <c r="P6" s="36"/>
      <c r="Q6" s="36"/>
    </row>
    <row r="7" spans="1:24" ht="15" customHeight="1">
      <c r="A7" s="521" t="s">
        <v>92</v>
      </c>
      <c r="B7" s="521"/>
      <c r="C7" s="757">
        <f>'In 2'!C7</f>
        <v>0</v>
      </c>
      <c r="D7" s="757"/>
      <c r="E7" s="757"/>
      <c r="F7" s="757"/>
      <c r="G7" s="757"/>
      <c r="H7" s="757"/>
      <c r="I7" s="85" t="s">
        <v>93</v>
      </c>
      <c r="J7" s="85"/>
      <c r="K7" s="86" t="s">
        <v>341</v>
      </c>
      <c r="P7" s="36"/>
      <c r="Q7" s="36"/>
    </row>
    <row r="8" spans="1:24" ht="20.399999999999999" customHeight="1">
      <c r="A8" s="521" t="s">
        <v>94</v>
      </c>
      <c r="B8" s="521"/>
      <c r="C8" s="581">
        <f>'In 2'!C8</f>
        <v>0</v>
      </c>
      <c r="D8" s="581"/>
      <c r="E8" s="581"/>
      <c r="F8" s="581"/>
      <c r="G8" s="581"/>
      <c r="H8" s="581"/>
      <c r="I8" s="85" t="s">
        <v>95</v>
      </c>
      <c r="J8" s="85"/>
      <c r="K8" s="86" t="s">
        <v>341</v>
      </c>
      <c r="P8" s="36"/>
      <c r="Q8" s="36"/>
    </row>
    <row r="9" spans="1:24" ht="15" customHeight="1">
      <c r="A9" s="36"/>
      <c r="B9" s="36"/>
      <c r="C9" s="581"/>
      <c r="D9" s="581"/>
      <c r="E9" s="581"/>
      <c r="F9" s="581"/>
      <c r="G9" s="581"/>
      <c r="H9" s="581"/>
      <c r="I9" s="36"/>
      <c r="K9" s="36"/>
      <c r="P9" s="36"/>
      <c r="Q9" s="36"/>
    </row>
    <row r="10" spans="1:24" ht="19.05" customHeight="1">
      <c r="A10" s="444"/>
      <c r="B10" s="445"/>
      <c r="C10" s="385" t="s">
        <v>96</v>
      </c>
      <c r="D10" s="385"/>
      <c r="E10" s="385"/>
      <c r="F10" s="385"/>
      <c r="G10" s="385"/>
      <c r="H10" s="385" t="s">
        <v>97</v>
      </c>
      <c r="I10" s="385"/>
      <c r="J10" s="385"/>
      <c r="K10" s="385"/>
      <c r="L10" s="385"/>
      <c r="M10" s="305"/>
      <c r="P10" s="36"/>
      <c r="Q10" s="36"/>
    </row>
    <row r="11" spans="1:24" ht="19.05" customHeight="1">
      <c r="A11" s="579" t="s">
        <v>98</v>
      </c>
      <c r="B11" s="331"/>
      <c r="C11" s="366" t="s">
        <v>313</v>
      </c>
      <c r="D11" s="366"/>
      <c r="E11" s="366"/>
      <c r="F11" s="366"/>
      <c r="G11" s="366"/>
      <c r="H11" s="366" t="s">
        <v>313</v>
      </c>
      <c r="I11" s="366"/>
      <c r="J11" s="366"/>
      <c r="K11" s="366"/>
      <c r="L11" s="366"/>
      <c r="M11" s="544"/>
      <c r="P11" s="36"/>
      <c r="Q11" s="36"/>
    </row>
    <row r="12" spans="1:24" ht="19.05" customHeight="1">
      <c r="A12" s="579" t="s">
        <v>99</v>
      </c>
      <c r="B12" s="331"/>
      <c r="C12" s="366" t="s">
        <v>100</v>
      </c>
      <c r="D12" s="366"/>
      <c r="E12" s="366"/>
      <c r="F12" s="366"/>
      <c r="G12" s="366"/>
      <c r="H12" s="366" t="s">
        <v>314</v>
      </c>
      <c r="I12" s="366"/>
      <c r="J12" s="366"/>
      <c r="K12" s="366"/>
      <c r="L12" s="366"/>
      <c r="M12" s="544"/>
      <c r="P12" s="36"/>
      <c r="Q12" s="36"/>
    </row>
    <row r="13" spans="1:24" ht="19.05" customHeight="1">
      <c r="A13" s="580" t="s">
        <v>101</v>
      </c>
      <c r="B13" s="333"/>
      <c r="C13" s="563"/>
      <c r="D13" s="563"/>
      <c r="E13" s="563"/>
      <c r="F13" s="563"/>
      <c r="G13" s="563"/>
      <c r="H13" s="563"/>
      <c r="I13" s="563"/>
      <c r="J13" s="563"/>
      <c r="K13" s="563"/>
      <c r="L13" s="563"/>
      <c r="M13" s="306"/>
      <c r="P13" s="36"/>
      <c r="Q13" s="36"/>
    </row>
    <row r="14" spans="1:24">
      <c r="P14" s="36"/>
      <c r="Q14" s="36"/>
    </row>
    <row r="15" spans="1:24" ht="24" customHeight="1">
      <c r="A15" s="808" t="s">
        <v>306</v>
      </c>
      <c r="B15" s="809"/>
      <c r="C15" s="809"/>
      <c r="D15" s="809"/>
      <c r="E15" s="809"/>
      <c r="F15" s="809"/>
      <c r="G15" s="809"/>
      <c r="H15" s="810"/>
      <c r="J15" s="384" t="s">
        <v>142</v>
      </c>
      <c r="K15" s="385"/>
      <c r="L15" s="385"/>
      <c r="M15" s="305"/>
      <c r="P15" s="36"/>
      <c r="Q15" s="36"/>
    </row>
    <row r="16" spans="1:24" ht="18" customHeight="1">
      <c r="A16" s="87" t="s">
        <v>296</v>
      </c>
      <c r="B16" s="88"/>
      <c r="C16" s="776">
        <f>In!M6</f>
        <v>0</v>
      </c>
      <c r="D16" s="777"/>
      <c r="E16" s="777"/>
      <c r="F16" s="838" t="s">
        <v>297</v>
      </c>
      <c r="G16" s="838"/>
      <c r="H16" s="839"/>
      <c r="J16" s="541" t="s">
        <v>105</v>
      </c>
      <c r="K16" s="542"/>
      <c r="L16" s="542" t="s">
        <v>106</v>
      </c>
      <c r="M16" s="543"/>
      <c r="P16" s="33"/>
      <c r="Q16" s="33"/>
    </row>
    <row r="17" spans="1:18" ht="18" customHeight="1">
      <c r="A17" s="89" t="s">
        <v>32</v>
      </c>
      <c r="B17" s="90" t="s">
        <v>33</v>
      </c>
      <c r="C17" s="477" t="s">
        <v>34</v>
      </c>
      <c r="D17" s="473"/>
      <c r="E17" s="90" t="s">
        <v>145</v>
      </c>
      <c r="F17" s="91" t="s">
        <v>6</v>
      </c>
      <c r="G17" s="91" t="s">
        <v>146</v>
      </c>
      <c r="H17" s="92" t="s">
        <v>147</v>
      </c>
      <c r="J17" s="372"/>
      <c r="K17" s="373"/>
      <c r="M17" s="93"/>
      <c r="P17" s="36"/>
      <c r="Q17" s="36"/>
      <c r="R17" s="24"/>
    </row>
    <row r="18" spans="1:18" ht="18" customHeight="1">
      <c r="A18" s="54">
        <v>1</v>
      </c>
      <c r="B18" s="225" t="str">
        <f>May!C18</f>
        <v>Dây bó bao xám</v>
      </c>
      <c r="C18" s="796" t="str">
        <f>May!D18</f>
        <v>VC40000000001</v>
      </c>
      <c r="D18" s="797"/>
      <c r="E18" s="272"/>
      <c r="F18" s="230" t="s">
        <v>49</v>
      </c>
      <c r="G18" s="230">
        <f>May!G18</f>
        <v>0</v>
      </c>
      <c r="H18" s="96"/>
      <c r="J18" s="539"/>
      <c r="K18" s="540"/>
      <c r="L18" s="97"/>
      <c r="M18" s="98"/>
      <c r="P18" s="36"/>
      <c r="Q18" s="33"/>
      <c r="R18" s="24"/>
    </row>
    <row r="19" spans="1:18" ht="18" customHeight="1">
      <c r="A19" s="54">
        <v>2</v>
      </c>
      <c r="B19" s="61"/>
      <c r="C19" s="716"/>
      <c r="D19" s="447"/>
      <c r="E19" s="94"/>
      <c r="F19" s="95"/>
      <c r="G19" s="95"/>
      <c r="H19" s="96"/>
      <c r="P19" s="36"/>
      <c r="Q19" s="33"/>
      <c r="R19" s="24"/>
    </row>
    <row r="20" spans="1:18" ht="18" customHeight="1">
      <c r="A20" s="54">
        <v>3</v>
      </c>
      <c r="B20" s="45"/>
      <c r="C20" s="716"/>
      <c r="D20" s="447"/>
      <c r="E20" s="94"/>
      <c r="F20" s="29"/>
      <c r="G20" s="95"/>
      <c r="H20" s="96"/>
      <c r="J20" s="384" t="s">
        <v>149</v>
      </c>
      <c r="K20" s="385"/>
      <c r="L20" s="385"/>
      <c r="M20" s="305"/>
      <c r="P20" s="36"/>
      <c r="Q20" s="36"/>
    </row>
    <row r="21" spans="1:18" ht="18" customHeight="1">
      <c r="A21" s="54">
        <v>4</v>
      </c>
      <c r="B21" s="61"/>
      <c r="C21" s="716"/>
      <c r="D21" s="447"/>
      <c r="E21" s="94"/>
      <c r="F21" s="99"/>
      <c r="G21" s="95"/>
      <c r="H21" s="30"/>
      <c r="J21" s="541" t="s">
        <v>105</v>
      </c>
      <c r="K21" s="542"/>
      <c r="L21" s="542" t="s">
        <v>106</v>
      </c>
      <c r="M21" s="543"/>
      <c r="P21" s="36"/>
      <c r="Q21" s="36"/>
    </row>
    <row r="22" spans="1:18" ht="18" customHeight="1">
      <c r="A22" s="54">
        <v>5</v>
      </c>
      <c r="B22" s="61"/>
      <c r="C22" s="716"/>
      <c r="D22" s="447"/>
      <c r="E22" s="94"/>
      <c r="F22" s="99"/>
      <c r="G22" s="95"/>
      <c r="H22" s="30"/>
      <c r="J22" s="372"/>
      <c r="K22" s="373"/>
      <c r="M22" s="93"/>
      <c r="P22" s="36"/>
      <c r="Q22" s="36"/>
    </row>
    <row r="23" spans="1:18" ht="18" customHeight="1">
      <c r="A23" s="70">
        <v>6</v>
      </c>
      <c r="B23" s="100"/>
      <c r="C23" s="751"/>
      <c r="D23" s="448"/>
      <c r="E23" s="101"/>
      <c r="F23" s="102"/>
      <c r="G23" s="103"/>
      <c r="H23" s="32"/>
      <c r="J23" s="539"/>
      <c r="K23" s="540"/>
      <c r="L23" s="97"/>
      <c r="M23" s="98"/>
      <c r="P23" s="36"/>
      <c r="Q23" s="36"/>
    </row>
    <row r="24" spans="1:18" ht="18" customHeight="1">
      <c r="B24" s="25"/>
      <c r="C24" s="36"/>
      <c r="D24" s="395"/>
      <c r="E24" s="395"/>
      <c r="F24" s="104"/>
      <c r="G24" s="423"/>
      <c r="H24" s="423"/>
      <c r="J24" s="34"/>
      <c r="K24" s="34"/>
      <c r="L24" s="34"/>
      <c r="M24" s="34"/>
      <c r="P24" s="36"/>
      <c r="Q24" s="36"/>
    </row>
    <row r="25" spans="1:18" ht="18" customHeight="1">
      <c r="A25" s="384" t="s">
        <v>32</v>
      </c>
      <c r="B25" s="385" t="s">
        <v>7</v>
      </c>
      <c r="C25" s="320" t="s">
        <v>153</v>
      </c>
      <c r="D25" s="320"/>
      <c r="E25" s="492" t="s">
        <v>154</v>
      </c>
      <c r="F25" s="492"/>
      <c r="G25" s="385" t="s">
        <v>35</v>
      </c>
      <c r="H25" s="305" t="s">
        <v>106</v>
      </c>
      <c r="J25" s="105" t="s">
        <v>32</v>
      </c>
      <c r="K25" s="106" t="s">
        <v>114</v>
      </c>
      <c r="L25" s="107" t="s">
        <v>150</v>
      </c>
      <c r="M25" s="108" t="s">
        <v>151</v>
      </c>
      <c r="N25" s="109"/>
      <c r="P25" s="36"/>
      <c r="Q25" s="36"/>
    </row>
    <row r="26" spans="1:18" ht="18" customHeight="1">
      <c r="A26" s="541"/>
      <c r="B26" s="542"/>
      <c r="C26" s="398"/>
      <c r="D26" s="398"/>
      <c r="E26" s="90" t="s">
        <v>159</v>
      </c>
      <c r="F26" s="90" t="s">
        <v>159</v>
      </c>
      <c r="G26" s="542"/>
      <c r="H26" s="543"/>
      <c r="J26" s="54">
        <v>1</v>
      </c>
      <c r="K26" s="29"/>
      <c r="L26" s="29"/>
      <c r="M26" s="30"/>
      <c r="N26" s="109"/>
      <c r="P26" s="36"/>
      <c r="Q26" s="36"/>
    </row>
    <row r="27" spans="1:18" ht="19.95" customHeight="1">
      <c r="A27" s="365">
        <v>1</v>
      </c>
      <c r="B27" s="331" t="s">
        <v>307</v>
      </c>
      <c r="C27" s="840" t="s">
        <v>308</v>
      </c>
      <c r="D27" s="331"/>
      <c r="E27" s="528"/>
      <c r="F27" s="822"/>
      <c r="G27" s="366"/>
      <c r="H27" s="544"/>
      <c r="J27" s="54">
        <v>2</v>
      </c>
      <c r="K27" s="29"/>
      <c r="L27" s="29"/>
      <c r="M27" s="30"/>
      <c r="N27" s="110"/>
      <c r="P27" s="36"/>
      <c r="Q27" s="36"/>
    </row>
    <row r="28" spans="1:18" ht="19.95" customHeight="1">
      <c r="A28" s="365"/>
      <c r="B28" s="331"/>
      <c r="C28" s="331"/>
      <c r="D28" s="331"/>
      <c r="E28" s="528"/>
      <c r="F28" s="822"/>
      <c r="G28" s="366"/>
      <c r="H28" s="544"/>
      <c r="J28" s="54">
        <v>3</v>
      </c>
      <c r="K28" s="29"/>
      <c r="L28" s="29"/>
      <c r="M28" s="30"/>
      <c r="N28" s="110"/>
      <c r="P28" s="36"/>
      <c r="Q28" s="36"/>
    </row>
    <row r="29" spans="1:18" ht="19.95" customHeight="1">
      <c r="A29" s="365">
        <v>2</v>
      </c>
      <c r="B29" s="331" t="s">
        <v>309</v>
      </c>
      <c r="C29" s="390" t="s">
        <v>310</v>
      </c>
      <c r="D29" s="390"/>
      <c r="E29" s="528"/>
      <c r="F29" s="528"/>
      <c r="G29" s="528"/>
      <c r="H29" s="547"/>
      <c r="J29" s="54">
        <v>4</v>
      </c>
      <c r="K29" s="29"/>
      <c r="L29" s="29"/>
      <c r="M29" s="30"/>
      <c r="N29" s="110"/>
      <c r="P29" s="36"/>
      <c r="Q29" s="36"/>
    </row>
    <row r="30" spans="1:18" ht="19.95" customHeight="1">
      <c r="A30" s="365"/>
      <c r="B30" s="331"/>
      <c r="C30" s="390"/>
      <c r="D30" s="390"/>
      <c r="E30" s="528"/>
      <c r="F30" s="528"/>
      <c r="G30" s="528"/>
      <c r="H30" s="547"/>
      <c r="J30" s="70">
        <v>5</v>
      </c>
      <c r="K30" s="31"/>
      <c r="L30" s="31"/>
      <c r="M30" s="69"/>
      <c r="N30" s="110"/>
      <c r="P30" s="36"/>
      <c r="Q30" s="36"/>
    </row>
    <row r="31" spans="1:18" ht="19.95" customHeight="1">
      <c r="A31" s="365"/>
      <c r="B31" s="331"/>
      <c r="C31" s="390"/>
      <c r="D31" s="390"/>
      <c r="E31" s="528"/>
      <c r="F31" s="528"/>
      <c r="G31" s="528"/>
      <c r="H31" s="547"/>
      <c r="J31" s="83"/>
      <c r="K31" s="27"/>
      <c r="L31" s="83"/>
      <c r="M31" s="83"/>
      <c r="N31" s="109"/>
      <c r="P31" s="36"/>
      <c r="Q31" s="36"/>
    </row>
    <row r="32" spans="1:18" ht="19.95" customHeight="1">
      <c r="A32" s="54">
        <v>3</v>
      </c>
      <c r="B32" s="45" t="s">
        <v>303</v>
      </c>
      <c r="C32" s="585" t="s">
        <v>337</v>
      </c>
      <c r="D32" s="368"/>
      <c r="E32" s="61"/>
      <c r="F32" s="111"/>
      <c r="G32" s="45"/>
      <c r="H32" s="112"/>
      <c r="J32" s="384" t="s">
        <v>155</v>
      </c>
      <c r="K32" s="320" t="s">
        <v>156</v>
      </c>
      <c r="L32" s="385" t="s">
        <v>157</v>
      </c>
      <c r="M32" s="305" t="s">
        <v>158</v>
      </c>
      <c r="N32" s="110"/>
      <c r="P32" s="36"/>
      <c r="Q32" s="36"/>
    </row>
    <row r="33" spans="1:17" ht="19.95" customHeight="1">
      <c r="A33" s="113"/>
      <c r="B33" s="45"/>
      <c r="C33" s="841"/>
      <c r="D33" s="842"/>
      <c r="E33" s="61"/>
      <c r="F33" s="111"/>
      <c r="G33" s="45"/>
      <c r="H33" s="112"/>
      <c r="J33" s="541"/>
      <c r="K33" s="398"/>
      <c r="L33" s="542"/>
      <c r="M33" s="543"/>
      <c r="N33" s="110"/>
      <c r="P33" s="36"/>
      <c r="Q33" s="36"/>
    </row>
    <row r="34" spans="1:17" ht="19.95" customHeight="1">
      <c r="A34" s="113"/>
      <c r="B34" s="45"/>
      <c r="C34" s="841"/>
      <c r="D34" s="842"/>
      <c r="E34" s="61"/>
      <c r="F34" s="111"/>
      <c r="G34" s="45"/>
      <c r="H34" s="112"/>
      <c r="J34" s="365"/>
      <c r="K34" s="366"/>
      <c r="L34" s="366"/>
      <c r="M34" s="544"/>
      <c r="N34" s="110"/>
      <c r="P34" s="34"/>
      <c r="Q34" s="34"/>
    </row>
    <row r="35" spans="1:17" ht="19.95" customHeight="1">
      <c r="A35" s="113"/>
      <c r="B35" s="45"/>
      <c r="C35" s="841"/>
      <c r="D35" s="842"/>
      <c r="E35" s="61"/>
      <c r="F35" s="111"/>
      <c r="G35" s="45"/>
      <c r="H35" s="112"/>
      <c r="J35" s="365"/>
      <c r="K35" s="366"/>
      <c r="L35" s="366"/>
      <c r="M35" s="544"/>
      <c r="N35" s="110"/>
      <c r="P35" s="34"/>
      <c r="Q35" s="34"/>
    </row>
    <row r="36" spans="1:17" ht="19.95" customHeight="1">
      <c r="A36" s="113"/>
      <c r="B36" s="45"/>
      <c r="C36" s="841"/>
      <c r="D36" s="842"/>
      <c r="E36" s="61"/>
      <c r="F36" s="111"/>
      <c r="G36" s="45"/>
      <c r="H36" s="112"/>
      <c r="J36" s="365"/>
      <c r="K36" s="366"/>
      <c r="L36" s="366"/>
      <c r="M36" s="544"/>
      <c r="N36" s="110"/>
      <c r="P36" s="34"/>
      <c r="Q36" s="34"/>
    </row>
    <row r="37" spans="1:17" ht="19.95" customHeight="1">
      <c r="A37" s="113"/>
      <c r="B37" s="45"/>
      <c r="C37" s="841"/>
      <c r="D37" s="842"/>
      <c r="E37" s="61"/>
      <c r="F37" s="111"/>
      <c r="G37" s="45"/>
      <c r="H37" s="112"/>
      <c r="J37" s="365"/>
      <c r="K37" s="366"/>
      <c r="L37" s="366"/>
      <c r="M37" s="544"/>
      <c r="N37" s="110"/>
      <c r="P37" s="34"/>
      <c r="Q37" s="34"/>
    </row>
    <row r="38" spans="1:17" ht="19.95" customHeight="1">
      <c r="A38" s="113"/>
      <c r="B38" s="45"/>
      <c r="C38" s="841"/>
      <c r="D38" s="842"/>
      <c r="E38" s="61"/>
      <c r="F38" s="111"/>
      <c r="G38" s="45"/>
      <c r="H38" s="112"/>
      <c r="J38" s="541"/>
      <c r="K38" s="542"/>
      <c r="L38" s="542"/>
      <c r="M38" s="543"/>
      <c r="N38" s="110"/>
      <c r="P38" s="34"/>
      <c r="Q38" s="34"/>
    </row>
    <row r="39" spans="1:17" ht="19.95" customHeight="1">
      <c r="A39" s="113"/>
      <c r="B39" s="45"/>
      <c r="C39" s="841"/>
      <c r="D39" s="842"/>
      <c r="E39" s="61"/>
      <c r="F39" s="111"/>
      <c r="G39" s="45"/>
      <c r="H39" s="112"/>
      <c r="J39" s="541"/>
      <c r="K39" s="542"/>
      <c r="L39" s="542"/>
      <c r="M39" s="543"/>
      <c r="N39" s="110"/>
      <c r="P39" s="34"/>
      <c r="Q39" s="34"/>
    </row>
    <row r="40" spans="1:17" ht="19.95" customHeight="1">
      <c r="A40" s="113"/>
      <c r="B40" s="45"/>
      <c r="C40" s="841"/>
      <c r="D40" s="842"/>
      <c r="E40" s="61"/>
      <c r="F40" s="111"/>
      <c r="G40" s="45"/>
      <c r="H40" s="112"/>
      <c r="J40" s="541"/>
      <c r="K40" s="542"/>
      <c r="L40" s="542"/>
      <c r="M40" s="543"/>
      <c r="N40" s="110"/>
      <c r="P40" s="34"/>
      <c r="Q40" s="34"/>
    </row>
    <row r="41" spans="1:17" ht="19.95" customHeight="1">
      <c r="A41" s="113"/>
      <c r="B41" s="45"/>
      <c r="C41" s="841"/>
      <c r="D41" s="842"/>
      <c r="E41" s="61"/>
      <c r="F41" s="111"/>
      <c r="G41" s="45"/>
      <c r="H41" s="112"/>
      <c r="J41" s="750"/>
      <c r="K41" s="563"/>
      <c r="L41" s="563"/>
      <c r="M41" s="306"/>
      <c r="N41" s="110"/>
      <c r="P41" s="34"/>
      <c r="Q41" s="34"/>
    </row>
    <row r="42" spans="1:17" ht="19.95" customHeight="1">
      <c r="A42" s="113"/>
      <c r="B42" s="45"/>
      <c r="C42" s="841"/>
      <c r="D42" s="842"/>
      <c r="E42" s="61"/>
      <c r="F42" s="111"/>
      <c r="G42" s="45"/>
      <c r="H42" s="112"/>
      <c r="J42" s="83"/>
      <c r="K42" s="83"/>
      <c r="L42" s="83"/>
      <c r="M42" s="83"/>
      <c r="N42" s="110"/>
      <c r="P42" s="34"/>
      <c r="Q42" s="34"/>
    </row>
    <row r="43" spans="1:17" ht="19.95" customHeight="1">
      <c r="A43" s="113"/>
      <c r="B43" s="45"/>
      <c r="C43" s="841"/>
      <c r="D43" s="842"/>
      <c r="E43" s="61"/>
      <c r="F43" s="111"/>
      <c r="G43" s="45"/>
      <c r="H43" s="112"/>
      <c r="J43" s="384" t="s">
        <v>116</v>
      </c>
      <c r="K43" s="385"/>
      <c r="L43" s="385"/>
      <c r="M43" s="305"/>
      <c r="N43" s="110"/>
      <c r="P43" s="34"/>
      <c r="Q43" s="34"/>
    </row>
    <row r="44" spans="1:17" ht="19.95" customHeight="1">
      <c r="A44" s="113"/>
      <c r="B44" s="45"/>
      <c r="C44" s="841"/>
      <c r="D44" s="842"/>
      <c r="E44" s="61"/>
      <c r="F44" s="111"/>
      <c r="G44" s="45"/>
      <c r="H44" s="112"/>
      <c r="J44" s="503"/>
      <c r="K44" s="463"/>
      <c r="L44" s="463"/>
      <c r="M44" s="533"/>
      <c r="N44" s="110"/>
      <c r="P44" s="34"/>
      <c r="Q44" s="34"/>
    </row>
    <row r="45" spans="1:17" ht="19.95" customHeight="1">
      <c r="A45" s="113"/>
      <c r="B45" s="45"/>
      <c r="C45" s="841"/>
      <c r="D45" s="842"/>
      <c r="E45" s="61"/>
      <c r="F45" s="111"/>
      <c r="G45" s="45"/>
      <c r="H45" s="112"/>
      <c r="J45" s="744"/>
      <c r="K45" s="745"/>
      <c r="L45" s="745"/>
      <c r="M45" s="746"/>
      <c r="N45" s="110"/>
      <c r="P45" s="34"/>
      <c r="Q45" s="34"/>
    </row>
    <row r="46" spans="1:17" ht="19.95" customHeight="1">
      <c r="A46" s="113"/>
      <c r="B46" s="45"/>
      <c r="C46" s="841"/>
      <c r="D46" s="842"/>
      <c r="E46" s="61"/>
      <c r="F46" s="111"/>
      <c r="G46" s="45"/>
      <c r="H46" s="112"/>
      <c r="J46" s="744"/>
      <c r="K46" s="745"/>
      <c r="L46" s="745"/>
      <c r="M46" s="746"/>
      <c r="N46" s="110"/>
      <c r="P46" s="34"/>
      <c r="Q46" s="34"/>
    </row>
    <row r="47" spans="1:17" ht="19.95" customHeight="1">
      <c r="A47" s="113"/>
      <c r="B47" s="45"/>
      <c r="C47" s="841"/>
      <c r="D47" s="842"/>
      <c r="E47" s="61"/>
      <c r="F47" s="111"/>
      <c r="G47" s="45"/>
      <c r="H47" s="112"/>
      <c r="J47" s="744"/>
      <c r="K47" s="745"/>
      <c r="L47" s="745"/>
      <c r="M47" s="746"/>
      <c r="N47" s="110"/>
      <c r="P47" s="34"/>
      <c r="Q47" s="34"/>
    </row>
    <row r="48" spans="1:17" ht="19.95" customHeight="1">
      <c r="A48" s="114"/>
      <c r="B48" s="103"/>
      <c r="C48" s="843"/>
      <c r="D48" s="844"/>
      <c r="E48" s="100"/>
      <c r="F48" s="102"/>
      <c r="G48" s="103"/>
      <c r="H48" s="32"/>
      <c r="J48" s="747"/>
      <c r="K48" s="748"/>
      <c r="L48" s="748"/>
      <c r="M48" s="749"/>
      <c r="N48" s="110"/>
      <c r="P48" s="34"/>
      <c r="Q48" s="34"/>
    </row>
    <row r="49" spans="1:17" ht="18" customHeight="1">
      <c r="B49" s="115"/>
      <c r="C49" s="116"/>
      <c r="D49" s="116"/>
      <c r="E49" s="116"/>
      <c r="F49" s="116"/>
      <c r="G49" s="116"/>
      <c r="H49" s="116"/>
      <c r="N49" s="110"/>
      <c r="P49" s="34"/>
      <c r="Q49" s="34"/>
    </row>
    <row r="50" spans="1:17" ht="18" customHeight="1">
      <c r="A50" s="384" t="s">
        <v>311</v>
      </c>
      <c r="B50" s="385"/>
      <c r="C50" s="385"/>
      <c r="D50" s="385"/>
      <c r="E50" s="385"/>
      <c r="F50" s="385"/>
      <c r="G50" s="385"/>
      <c r="H50" s="305"/>
      <c r="I50" s="34"/>
      <c r="J50" s="318" t="s">
        <v>327</v>
      </c>
      <c r="K50" s="320"/>
      <c r="L50" s="320" t="s">
        <v>328</v>
      </c>
      <c r="M50" s="396"/>
    </row>
    <row r="51" spans="1:17" ht="18" customHeight="1">
      <c r="A51" s="541" t="s">
        <v>126</v>
      </c>
      <c r="B51" s="542"/>
      <c r="C51" s="542"/>
      <c r="D51" s="542" t="s">
        <v>312</v>
      </c>
      <c r="E51" s="542"/>
      <c r="F51" s="542" t="s">
        <v>305</v>
      </c>
      <c r="G51" s="542"/>
      <c r="H51" s="543"/>
      <c r="J51" s="397"/>
      <c r="K51" s="398"/>
      <c r="L51" s="398"/>
      <c r="M51" s="399"/>
    </row>
    <row r="52" spans="1:17" ht="18" customHeight="1">
      <c r="A52" s="365"/>
      <c r="B52" s="366"/>
      <c r="C52" s="366"/>
      <c r="D52" s="366"/>
      <c r="E52" s="366"/>
      <c r="F52" s="366"/>
      <c r="G52" s="366"/>
      <c r="H52" s="544"/>
      <c r="J52" s="397"/>
      <c r="K52" s="398"/>
      <c r="L52" s="398"/>
      <c r="M52" s="399"/>
    </row>
    <row r="53" spans="1:17" ht="18" customHeight="1">
      <c r="A53" s="365"/>
      <c r="B53" s="366"/>
      <c r="C53" s="366"/>
      <c r="D53" s="366"/>
      <c r="E53" s="366"/>
      <c r="F53" s="366"/>
      <c r="G53" s="366"/>
      <c r="H53" s="544"/>
      <c r="J53" s="397"/>
      <c r="K53" s="398"/>
      <c r="L53" s="398"/>
      <c r="M53" s="399"/>
    </row>
    <row r="54" spans="1:17" ht="18" customHeight="1">
      <c r="A54" s="349"/>
      <c r="B54" s="350"/>
      <c r="C54" s="350"/>
      <c r="D54" s="350"/>
      <c r="E54" s="350"/>
      <c r="F54" s="350"/>
      <c r="G54" s="350"/>
      <c r="H54" s="545"/>
      <c r="J54" s="400"/>
      <c r="K54" s="401"/>
      <c r="L54" s="401"/>
      <c r="M54" s="402"/>
    </row>
    <row r="57" spans="1:17">
      <c r="D57" s="423"/>
      <c r="E57" s="423"/>
      <c r="F57" s="423"/>
      <c r="G57" s="423"/>
    </row>
    <row r="58" spans="1:17">
      <c r="B58" s="376"/>
      <c r="C58" s="376"/>
      <c r="D58" s="467"/>
      <c r="E58" s="467"/>
      <c r="F58" s="467"/>
      <c r="G58" s="467"/>
    </row>
    <row r="59" spans="1:17">
      <c r="B59" s="376"/>
      <c r="C59" s="376"/>
      <c r="D59" s="467"/>
      <c r="E59" s="467"/>
      <c r="F59" s="470"/>
      <c r="G59" s="470"/>
    </row>
    <row r="60" spans="1:17">
      <c r="B60" s="376"/>
      <c r="C60" s="376"/>
      <c r="D60" s="467"/>
      <c r="E60" s="467"/>
      <c r="F60" s="468"/>
      <c r="G60" s="468"/>
    </row>
    <row r="61" spans="1:17">
      <c r="B61" s="376"/>
      <c r="C61" s="376"/>
      <c r="D61" s="467"/>
      <c r="E61" s="467"/>
      <c r="F61" s="467"/>
      <c r="G61" s="467"/>
    </row>
    <row r="62" spans="1:17">
      <c r="B62" s="376"/>
      <c r="C62" s="376"/>
      <c r="D62" s="467"/>
      <c r="E62" s="467"/>
      <c r="F62" s="467"/>
      <c r="G62" s="467"/>
    </row>
    <row r="63" spans="1:17">
      <c r="B63" s="376"/>
      <c r="C63" s="376"/>
      <c r="D63" s="467"/>
      <c r="E63" s="467"/>
      <c r="F63" s="468"/>
      <c r="G63" s="468"/>
    </row>
    <row r="64" spans="1:17">
      <c r="B64" s="376"/>
      <c r="C64" s="376"/>
      <c r="D64" s="467"/>
      <c r="E64" s="467"/>
      <c r="F64" s="468"/>
      <c r="G64" s="468"/>
    </row>
    <row r="65" spans="2:7">
      <c r="B65" s="376"/>
      <c r="C65" s="376"/>
      <c r="D65" s="467"/>
      <c r="E65" s="467"/>
      <c r="F65" s="468"/>
      <c r="G65" s="468"/>
    </row>
    <row r="66" spans="2:7">
      <c r="B66" s="376"/>
      <c r="C66" s="376"/>
      <c r="D66" s="467"/>
      <c r="E66" s="467"/>
      <c r="F66" s="469"/>
      <c r="G66" s="469"/>
    </row>
  </sheetData>
  <mergeCells count="148">
    <mergeCell ref="K1:M1"/>
    <mergeCell ref="K2:M2"/>
    <mergeCell ref="K3:M3"/>
    <mergeCell ref="A5:B5"/>
    <mergeCell ref="C5:H5"/>
    <mergeCell ref="A6:B6"/>
    <mergeCell ref="C6:H6"/>
    <mergeCell ref="A7:B7"/>
    <mergeCell ref="C7:H7"/>
    <mergeCell ref="A1:B3"/>
    <mergeCell ref="C1:J3"/>
    <mergeCell ref="A8:B8"/>
    <mergeCell ref="A10:B10"/>
    <mergeCell ref="C10:G10"/>
    <mergeCell ref="H10:M10"/>
    <mergeCell ref="A11:B11"/>
    <mergeCell ref="C11:G11"/>
    <mergeCell ref="H11:M11"/>
    <mergeCell ref="A12:B12"/>
    <mergeCell ref="C12:G12"/>
    <mergeCell ref="H12:M12"/>
    <mergeCell ref="A13:B13"/>
    <mergeCell ref="C13:G13"/>
    <mergeCell ref="H13:M13"/>
    <mergeCell ref="A15:H15"/>
    <mergeCell ref="J15:M15"/>
    <mergeCell ref="C16:E16"/>
    <mergeCell ref="F16:H16"/>
    <mergeCell ref="J16:K16"/>
    <mergeCell ref="L16:M16"/>
    <mergeCell ref="C17:D17"/>
    <mergeCell ref="C18:D18"/>
    <mergeCell ref="C19:D19"/>
    <mergeCell ref="C20:D20"/>
    <mergeCell ref="J20:M20"/>
    <mergeCell ref="C21:D21"/>
    <mergeCell ref="J21:K21"/>
    <mergeCell ref="L21:M21"/>
    <mergeCell ref="C22:D22"/>
    <mergeCell ref="J17:K18"/>
    <mergeCell ref="J22:K23"/>
    <mergeCell ref="C23:D23"/>
    <mergeCell ref="D24:E24"/>
    <mergeCell ref="G24:H24"/>
    <mergeCell ref="E25:F25"/>
    <mergeCell ref="C32:D32"/>
    <mergeCell ref="C33:D33"/>
    <mergeCell ref="C34:D34"/>
    <mergeCell ref="C35:D35"/>
    <mergeCell ref="C36:D36"/>
    <mergeCell ref="H25:H26"/>
    <mergeCell ref="H27:H28"/>
    <mergeCell ref="H29:H31"/>
    <mergeCell ref="C37:D37"/>
    <mergeCell ref="C38:D38"/>
    <mergeCell ref="C39:D39"/>
    <mergeCell ref="C40:D40"/>
    <mergeCell ref="C41:D41"/>
    <mergeCell ref="C42:D42"/>
    <mergeCell ref="C43:D43"/>
    <mergeCell ref="J43:M43"/>
    <mergeCell ref="C44:D44"/>
    <mergeCell ref="J44:M44"/>
    <mergeCell ref="C45:D45"/>
    <mergeCell ref="J45:M45"/>
    <mergeCell ref="C46:D46"/>
    <mergeCell ref="J46:M46"/>
    <mergeCell ref="C47:D47"/>
    <mergeCell ref="J47:M47"/>
    <mergeCell ref="C48:D48"/>
    <mergeCell ref="J48:M48"/>
    <mergeCell ref="A50:H50"/>
    <mergeCell ref="J50:K51"/>
    <mergeCell ref="L50:M51"/>
    <mergeCell ref="A51:C51"/>
    <mergeCell ref="D51:E51"/>
    <mergeCell ref="F51:H51"/>
    <mergeCell ref="D57:E57"/>
    <mergeCell ref="F57:G57"/>
    <mergeCell ref="B58:C58"/>
    <mergeCell ref="D58:E58"/>
    <mergeCell ref="F58:G58"/>
    <mergeCell ref="B59:C59"/>
    <mergeCell ref="D59:E59"/>
    <mergeCell ref="F59:G59"/>
    <mergeCell ref="B64:C64"/>
    <mergeCell ref="D64:E64"/>
    <mergeCell ref="F64:G64"/>
    <mergeCell ref="B65:C65"/>
    <mergeCell ref="D65:E65"/>
    <mergeCell ref="F65:G65"/>
    <mergeCell ref="B60:C60"/>
    <mergeCell ref="D60:E60"/>
    <mergeCell ref="F60:G60"/>
    <mergeCell ref="B61:C61"/>
    <mergeCell ref="D61:E61"/>
    <mergeCell ref="F61:G61"/>
    <mergeCell ref="B62:C62"/>
    <mergeCell ref="D62:E62"/>
    <mergeCell ref="F62:G62"/>
    <mergeCell ref="B66:C66"/>
    <mergeCell ref="D66:E66"/>
    <mergeCell ref="F66:G66"/>
    <mergeCell ref="A25:A26"/>
    <mergeCell ref="A27:A28"/>
    <mergeCell ref="A29:A31"/>
    <mergeCell ref="B25:B26"/>
    <mergeCell ref="B27:B28"/>
    <mergeCell ref="B29:B31"/>
    <mergeCell ref="E27:E28"/>
    <mergeCell ref="E29:E31"/>
    <mergeCell ref="F27:F28"/>
    <mergeCell ref="F29:F31"/>
    <mergeCell ref="G25:G26"/>
    <mergeCell ref="G27:G28"/>
    <mergeCell ref="G29:G31"/>
    <mergeCell ref="C25:D26"/>
    <mergeCell ref="C27:D28"/>
    <mergeCell ref="C29:D31"/>
    <mergeCell ref="A52:C54"/>
    <mergeCell ref="D52:E54"/>
    <mergeCell ref="B63:C63"/>
    <mergeCell ref="D63:E63"/>
    <mergeCell ref="F63:G63"/>
    <mergeCell ref="J52:K54"/>
    <mergeCell ref="L52:M54"/>
    <mergeCell ref="F52:H54"/>
    <mergeCell ref="C8:H9"/>
    <mergeCell ref="L32:L33"/>
    <mergeCell ref="L34:L35"/>
    <mergeCell ref="L36:L37"/>
    <mergeCell ref="L38:L39"/>
    <mergeCell ref="L40:L41"/>
    <mergeCell ref="M32:M33"/>
    <mergeCell ref="M34:M35"/>
    <mergeCell ref="M36:M37"/>
    <mergeCell ref="M38:M39"/>
    <mergeCell ref="M40:M41"/>
    <mergeCell ref="J32:J33"/>
    <mergeCell ref="J34:J35"/>
    <mergeCell ref="J36:J37"/>
    <mergeCell ref="J38:J39"/>
    <mergeCell ref="J40:J41"/>
    <mergeCell ref="K32:K33"/>
    <mergeCell ref="K34:K35"/>
    <mergeCell ref="K36:K37"/>
    <mergeCell ref="K38:K39"/>
    <mergeCell ref="K40:K41"/>
  </mergeCells>
  <conditionalFormatting sqref="C22:C23">
    <cfRule type="duplicateValues" dxfId="11" priority="7" stopIfTrue="1"/>
    <cfRule type="duplicateValues" dxfId="10" priority="8" stopIfTrue="1"/>
    <cfRule type="duplicateValues" dxfId="9" priority="9" stopIfTrue="1"/>
    <cfRule type="duplicateValues" dxfId="8" priority="10" stopIfTrue="1"/>
    <cfRule type="duplicateValues" dxfId="7" priority="11" stopIfTrue="1"/>
    <cfRule type="duplicateValues" dxfId="6" priority="12" stopIfTrue="1"/>
  </conditionalFormatting>
  <conditionalFormatting sqref="C24">
    <cfRule type="duplicateValues" dxfId="5" priority="1" stopIfTrue="1"/>
    <cfRule type="duplicateValues" dxfId="4" priority="2" stopIfTrue="1"/>
    <cfRule type="duplicateValues" dxfId="3" priority="3" stopIfTrue="1"/>
    <cfRule type="duplicateValues" dxfId="2" priority="4" stopIfTrue="1"/>
    <cfRule type="duplicateValues" dxfId="1" priority="5" stopIfTrue="1"/>
    <cfRule type="duplicateValues" dxfId="0" priority="6" stopIfTrue="1"/>
  </conditionalFormatting>
  <printOptions horizontalCentered="1"/>
  <pageMargins left="0.23622047244094499" right="0.23611111111111099" top="0.35416666666666702" bottom="0.31458333333333299" header="0.31496062992126" footer="0.31496062992126"/>
  <pageSetup paperSize="9" scale="72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23</vt:i4>
      </vt:variant>
      <vt:variant>
        <vt:lpstr>Named Ranges</vt:lpstr>
      </vt:variant>
      <vt:variant>
        <vt:i4>23</vt:i4>
      </vt:variant>
    </vt:vector>
  </HeadingPairs>
  <TitlesOfParts>
    <vt:vector size="46" baseType="lpstr">
      <vt:lpstr>In</vt:lpstr>
      <vt:lpstr>Tráng</vt:lpstr>
      <vt:lpstr>Dán</vt:lpstr>
      <vt:lpstr>Thổi</vt:lpstr>
      <vt:lpstr>May</vt:lpstr>
      <vt:lpstr>X</vt:lpstr>
      <vt:lpstr>Đóng gói 1</vt:lpstr>
      <vt:lpstr>May 1</vt:lpstr>
      <vt:lpstr>Thổi 1</vt:lpstr>
      <vt:lpstr>Dán 1</vt:lpstr>
      <vt:lpstr>Tráng 1</vt:lpstr>
      <vt:lpstr>Chia biên 1</vt:lpstr>
      <vt:lpstr>In 1</vt:lpstr>
      <vt:lpstr>Ghép 1</vt:lpstr>
      <vt:lpstr>Bồi 1</vt:lpstr>
      <vt:lpstr>XX</vt:lpstr>
      <vt:lpstr>In 2</vt:lpstr>
      <vt:lpstr>Chia biên 2</vt:lpstr>
      <vt:lpstr>Tráng 2</vt:lpstr>
      <vt:lpstr>Dán 2</vt:lpstr>
      <vt:lpstr>Thổi 2</vt:lpstr>
      <vt:lpstr>May 2</vt:lpstr>
      <vt:lpstr>Đóng gói 2</vt:lpstr>
      <vt:lpstr>'Bồi 1'!Print_Area</vt:lpstr>
      <vt:lpstr>'Chia biên 1'!Print_Area</vt:lpstr>
      <vt:lpstr>'Chia biên 2'!Print_Area</vt:lpstr>
      <vt:lpstr>Dán!Print_Area</vt:lpstr>
      <vt:lpstr>'Dán 1'!Print_Area</vt:lpstr>
      <vt:lpstr>'Dán 2'!Print_Area</vt:lpstr>
      <vt:lpstr>'Đóng gói 1'!Print_Area</vt:lpstr>
      <vt:lpstr>'Đóng gói 2'!Print_Area</vt:lpstr>
      <vt:lpstr>'Ghép 1'!Print_Area</vt:lpstr>
      <vt:lpstr>In!Print_Area</vt:lpstr>
      <vt:lpstr>'In 1'!Print_Area</vt:lpstr>
      <vt:lpstr>'In 2'!Print_Area</vt:lpstr>
      <vt:lpstr>May!Print_Area</vt:lpstr>
      <vt:lpstr>'May 1'!Print_Area</vt:lpstr>
      <vt:lpstr>'May 2'!Print_Area</vt:lpstr>
      <vt:lpstr>Thổi!Print_Area</vt:lpstr>
      <vt:lpstr>'Thổi 1'!Print_Area</vt:lpstr>
      <vt:lpstr>'Thổi 2'!Print_Area</vt:lpstr>
      <vt:lpstr>Tráng!Print_Area</vt:lpstr>
      <vt:lpstr>'Tráng 1'!Print_Area</vt:lpstr>
      <vt:lpstr>'Tráng 2'!Print_Area</vt:lpstr>
      <vt:lpstr>X!Print_Area</vt:lpstr>
      <vt:lpstr>XX!Print_Area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Ngoc Thai Doan</cp:lastModifiedBy>
  <cp:lastPrinted>2026-07-27T01:34:42Z</cp:lastPrinted>
  <dcterms:created xsi:type="dcterms:W3CDTF">2021-08-27T13:03:00Z</dcterms:created>
  <dcterms:modified xsi:type="dcterms:W3CDTF">2026-07-30T12:27:21Z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78ED9557BB134E20A550513DF73E2407_13</vt:lpwstr>
  </property>
  <property fmtid="{D5CDD505-2E9C-101B-9397-08002B2CF9AE}" pid="3" name="KSOProductBuildVer">
    <vt:lpwstr>1033-12.2.0.16909</vt:lpwstr>
  </property>
</Properties>
</file>