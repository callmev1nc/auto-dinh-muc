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E:\Work\Đơn hàng\Tân Châu 50x92 Nhật vàng\"/>
    </mc:Choice>
  </mc:AlternateContent>
  <xr:revisionPtr revIDLastSave="0" documentId="13_ncr:1_{BCCEB3E0-06E4-4DBF-89DC-418B133A6645}" xr6:coauthVersionLast="47" xr6:coauthVersionMax="47" xr10:uidLastSave="{00000000-0000-0000-0000-000000000000}"/>
  <bookViews>
    <workbookView xWindow="-108" yWindow="-108" windowWidth="23256" windowHeight="12456" tabRatio="929" xr2:uid="{00000000-000D-0000-FFFF-FFFF00000000}"/>
  </bookViews>
  <sheets>
    <sheet name="In" sheetId="22" r:id="rId1"/>
    <sheet name="Tráng" sheetId="20" r:id="rId2"/>
    <sheet name="Dán" sheetId="21" r:id="rId3"/>
    <sheet name="Thổi" sheetId="16" r:id="rId4"/>
    <sheet name="May" sheetId="19" r:id="rId5"/>
    <sheet name="Chia biên 1" sheetId="33" state="hidden" r:id="rId6"/>
    <sheet name="Ghép 1" sheetId="34" state="hidden" r:id="rId7"/>
    <sheet name="Bồi 1" sheetId="35" state="hidden" r:id="rId8"/>
    <sheet name="X" sheetId="42" r:id="rId9"/>
    <sheet name="Đóng gói 1" sheetId="40" r:id="rId10"/>
    <sheet name="May 1" sheetId="39" r:id="rId11"/>
    <sheet name="Thổi 1" sheetId="38" r:id="rId12"/>
    <sheet name="Dán 1" sheetId="37" r:id="rId13"/>
    <sheet name="Tráng 1" sheetId="36" r:id="rId14"/>
    <sheet name="In 1" sheetId="32" r:id="rId15"/>
    <sheet name="XX" sheetId="41" r:id="rId16"/>
    <sheet name="In 2" sheetId="24" r:id="rId17"/>
    <sheet name="Chia biên 2" sheetId="25" state="hidden" r:id="rId18"/>
    <sheet name="Tráng 2" sheetId="27" r:id="rId19"/>
    <sheet name="Dán 2" sheetId="28" r:id="rId20"/>
    <sheet name="Thổi 2" sheetId="29" r:id="rId21"/>
    <sheet name="May 2" sheetId="30" r:id="rId22"/>
    <sheet name="Đóng gói 2" sheetId="31" r:id="rId23"/>
  </sheets>
  <externalReferences>
    <externalReference r:id="rId24"/>
    <externalReference r:id="rId25"/>
  </externalReferences>
  <definedNames>
    <definedName name="_xlnm.Print_Area" localSheetId="7">'Bồi 1'!$A$1:$L$41</definedName>
    <definedName name="_xlnm.Print_Area" localSheetId="5">'Chia biên 1'!$A$1:$L$41</definedName>
    <definedName name="_xlnm.Print_Area" localSheetId="17">'Chia biên 2'!$A$1:$M$57</definedName>
    <definedName name="_xlnm.Print_Area" localSheetId="2">Dán!$A$1:$T$21</definedName>
    <definedName name="_xlnm.Print_Area" localSheetId="12">'Dán 1'!$A$1:$L$41</definedName>
    <definedName name="_xlnm.Print_Area" localSheetId="19">'Dán 2'!$A$1:$M$64</definedName>
    <definedName name="_xlnm.Print_Area" localSheetId="9">'Đóng gói 1'!$A$1:$L$41</definedName>
    <definedName name="_xlnm.Print_Area" localSheetId="22">'Đóng gói 2'!$A$1:$M$54</definedName>
    <definedName name="_xlnm.Print_Area" localSheetId="6">'Ghép 1'!$A$1:$L$41</definedName>
    <definedName name="_xlnm.Print_Area" localSheetId="0">In!$A$1:$T$31</definedName>
    <definedName name="_xlnm.Print_Area" localSheetId="14">'In 1'!$A$1:$L$41</definedName>
    <definedName name="_xlnm.Print_Area" localSheetId="16">'In 2'!$A$1:$M$67</definedName>
    <definedName name="_xlnm.Print_Area" localSheetId="4">May!$A$1:$T$24</definedName>
    <definedName name="_xlnm.Print_Area" localSheetId="10">'May 1'!$A$1:$L$41</definedName>
    <definedName name="_xlnm.Print_Area" localSheetId="21">'May 2'!$A$1:$M$60</definedName>
    <definedName name="_xlnm.Print_Area" localSheetId="3">Thổi!$A$1:$T$22</definedName>
    <definedName name="_xlnm.Print_Area" localSheetId="11">'Thổi 1'!$A$1:$L$41</definedName>
    <definedName name="_xlnm.Print_Area" localSheetId="20">'Thổi 2'!$A$1:$M$59</definedName>
    <definedName name="_xlnm.Print_Area" localSheetId="1">Tráng!$A$1:$T$24</definedName>
    <definedName name="_xlnm.Print_Area" localSheetId="13">'Tráng 1'!$A$1:$L$41</definedName>
    <definedName name="_xlnm.Print_Area" localSheetId="18">'Tráng 2'!$A$1:$Q$60</definedName>
    <definedName name="_xlnm.Print_Area" localSheetId="8">X!$A$1:$Q$56</definedName>
    <definedName name="_xlnm.Print_Area" localSheetId="15">XX!$A$1:$L$56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4" i="22" l="1"/>
  <c r="M9" i="22"/>
  <c r="G18" i="31"/>
  <c r="C18" i="31"/>
  <c r="B18" i="31"/>
  <c r="C16" i="31"/>
  <c r="C22" i="30"/>
  <c r="B22" i="30"/>
  <c r="C21" i="30"/>
  <c r="B21" i="30"/>
  <c r="C18" i="30"/>
  <c r="B18" i="30"/>
  <c r="C16" i="30"/>
  <c r="O38" i="29"/>
  <c r="O39" i="29" s="1"/>
  <c r="D20" i="29"/>
  <c r="B20" i="29"/>
  <c r="D19" i="29"/>
  <c r="B19" i="29"/>
  <c r="D18" i="29"/>
  <c r="B18" i="29"/>
  <c r="D20" i="28"/>
  <c r="B20" i="28"/>
  <c r="D19" i="28"/>
  <c r="B19" i="28"/>
  <c r="D18" i="28"/>
  <c r="B18" i="28"/>
  <c r="C23" i="27"/>
  <c r="B23" i="27"/>
  <c r="C22" i="27"/>
  <c r="B22" i="27"/>
  <c r="C21" i="27"/>
  <c r="B21" i="27"/>
  <c r="O43" i="25"/>
  <c r="D43" i="25" s="1"/>
  <c r="K8" i="25"/>
  <c r="K7" i="25"/>
  <c r="C18" i="24"/>
  <c r="B18" i="24"/>
  <c r="O16" i="24"/>
  <c r="K5" i="24"/>
  <c r="K5" i="25" s="1"/>
  <c r="C19" i="40"/>
  <c r="C20" i="40" s="1"/>
  <c r="J5" i="40"/>
  <c r="N3" i="40"/>
  <c r="C19" i="39"/>
  <c r="C20" i="39" s="1"/>
  <c r="J5" i="39"/>
  <c r="N2" i="39"/>
  <c r="C19" i="38"/>
  <c r="J5" i="38"/>
  <c r="N2" i="38"/>
  <c r="C19" i="37"/>
  <c r="J5" i="37"/>
  <c r="N2" i="37"/>
  <c r="C19" i="36"/>
  <c r="J5" i="36"/>
  <c r="N2" i="36"/>
  <c r="C19" i="32"/>
  <c r="C18" i="32"/>
  <c r="C18" i="37" s="1"/>
  <c r="C17" i="32"/>
  <c r="C17" i="40" s="1"/>
  <c r="C16" i="32"/>
  <c r="C16" i="40" s="1"/>
  <c r="J5" i="32"/>
  <c r="C19" i="35"/>
  <c r="J5" i="35"/>
  <c r="N2" i="35"/>
  <c r="C19" i="34"/>
  <c r="C18" i="34"/>
  <c r="C17" i="34"/>
  <c r="J5" i="34"/>
  <c r="N2" i="34"/>
  <c r="C19" i="33"/>
  <c r="C18" i="33"/>
  <c r="C17" i="33"/>
  <c r="J5" i="33"/>
  <c r="N2" i="33"/>
  <c r="D19" i="19"/>
  <c r="C19" i="30" s="1"/>
  <c r="C19" i="19"/>
  <c r="B19" i="30" s="1"/>
  <c r="M13" i="19"/>
  <c r="I9" i="19"/>
  <c r="C9" i="19"/>
  <c r="M8" i="19"/>
  <c r="M10" i="19" s="1"/>
  <c r="M7" i="19"/>
  <c r="M6" i="19"/>
  <c r="M13" i="16"/>
  <c r="M11" i="16"/>
  <c r="I9" i="16"/>
  <c r="C9" i="16"/>
  <c r="M13" i="21"/>
  <c r="I9" i="21"/>
  <c r="C9" i="21"/>
  <c r="M8" i="21"/>
  <c r="M10" i="21" s="1"/>
  <c r="M7" i="21"/>
  <c r="M6" i="21"/>
  <c r="M13" i="20"/>
  <c r="I9" i="20"/>
  <c r="C9" i="20"/>
  <c r="M8" i="20"/>
  <c r="M8" i="16" s="1"/>
  <c r="M7" i="20"/>
  <c r="M7" i="16" s="1"/>
  <c r="M6" i="20"/>
  <c r="M9" i="20" s="1"/>
  <c r="C47" i="22"/>
  <c r="C46" i="22"/>
  <c r="C45" i="22"/>
  <c r="C43" i="22"/>
  <c r="C41" i="22"/>
  <c r="C40" i="22"/>
  <c r="C39" i="22"/>
  <c r="G29" i="22"/>
  <c r="M11" i="22"/>
  <c r="C44" i="22" s="1"/>
  <c r="C8" i="22"/>
  <c r="C5" i="40" s="1"/>
  <c r="C7" i="22"/>
  <c r="C7" i="16" s="1"/>
  <c r="C6" i="22"/>
  <c r="C7" i="39" s="1"/>
  <c r="C5" i="22"/>
  <c r="C8" i="39" s="1"/>
  <c r="C20" i="34" l="1"/>
  <c r="G18" i="22"/>
  <c r="G21" i="19"/>
  <c r="F21" i="30" s="1"/>
  <c r="G22" i="19"/>
  <c r="F22" i="30" s="1"/>
  <c r="G17" i="19"/>
  <c r="F18" i="30" s="1"/>
  <c r="C18" i="36"/>
  <c r="K5" i="30"/>
  <c r="C6" i="21"/>
  <c r="C7" i="38"/>
  <c r="M10" i="20"/>
  <c r="M10" i="16" s="1"/>
  <c r="C7" i="35"/>
  <c r="C7" i="33"/>
  <c r="C8" i="33"/>
  <c r="C8" i="32"/>
  <c r="C8" i="21"/>
  <c r="C5" i="38"/>
  <c r="C6" i="38"/>
  <c r="C7" i="19"/>
  <c r="C6" i="35"/>
  <c r="C7" i="20"/>
  <c r="C6" i="39"/>
  <c r="C6" i="32"/>
  <c r="C6" i="37"/>
  <c r="C7" i="21"/>
  <c r="C6" i="33"/>
  <c r="C6" i="34"/>
  <c r="C6" i="40"/>
  <c r="M9" i="21"/>
  <c r="G18" i="21" s="1"/>
  <c r="G19" i="28" s="1"/>
  <c r="M9" i="16"/>
  <c r="C20" i="37"/>
  <c r="C16" i="39"/>
  <c r="C17" i="39"/>
  <c r="C5" i="20"/>
  <c r="C5" i="16"/>
  <c r="C17" i="35"/>
  <c r="C8" i="37"/>
  <c r="C16" i="38"/>
  <c r="C18" i="39"/>
  <c r="C8" i="38"/>
  <c r="C6" i="20"/>
  <c r="C5" i="21"/>
  <c r="C6" i="16"/>
  <c r="C5" i="19"/>
  <c r="C18" i="35"/>
  <c r="C6" i="36"/>
  <c r="C16" i="37"/>
  <c r="C17" i="38"/>
  <c r="C6" i="19"/>
  <c r="C7" i="34"/>
  <c r="C7" i="36"/>
  <c r="C17" i="37"/>
  <c r="C18" i="38"/>
  <c r="C6" i="24"/>
  <c r="C18" i="40"/>
  <c r="C7" i="37"/>
  <c r="M6" i="16"/>
  <c r="G17" i="16" s="1"/>
  <c r="C8" i="34"/>
  <c r="C8" i="36"/>
  <c r="C7" i="24"/>
  <c r="C8" i="35"/>
  <c r="C16" i="36"/>
  <c r="C8" i="24"/>
  <c r="C7" i="32"/>
  <c r="C17" i="36"/>
  <c r="C5" i="39"/>
  <c r="C7" i="40"/>
  <c r="C8" i="40"/>
  <c r="G16" i="25"/>
  <c r="M9" i="19"/>
  <c r="C20" i="36"/>
  <c r="C16" i="27"/>
  <c r="C20" i="33"/>
  <c r="C16" i="24"/>
  <c r="C16" i="25" s="1"/>
  <c r="G16" i="24"/>
  <c r="F18" i="24"/>
  <c r="C20" i="32"/>
  <c r="G19" i="22"/>
  <c r="F19" i="24" s="1"/>
  <c r="C20" i="35"/>
  <c r="C42" i="22"/>
  <c r="N5" i="27"/>
  <c r="K5" i="28"/>
  <c r="K5" i="31"/>
  <c r="K5" i="29"/>
  <c r="C5" i="32"/>
  <c r="C8" i="20"/>
  <c r="C5" i="37"/>
  <c r="C8" i="16"/>
  <c r="C5" i="36"/>
  <c r="C5" i="35"/>
  <c r="C8" i="19"/>
  <c r="C5" i="34"/>
  <c r="C5" i="24"/>
  <c r="C5" i="33"/>
  <c r="G17" i="21" l="1"/>
  <c r="G18" i="28" s="1"/>
  <c r="D16" i="28" s="1"/>
  <c r="G19" i="20"/>
  <c r="G23" i="27" s="1"/>
  <c r="G17" i="20"/>
  <c r="G21" i="27" s="1"/>
  <c r="G18" i="20"/>
  <c r="G22" i="27" s="1"/>
  <c r="C7" i="25"/>
  <c r="C7" i="27"/>
  <c r="C7" i="31"/>
  <c r="C7" i="28"/>
  <c r="C7" i="29"/>
  <c r="C7" i="30"/>
  <c r="G18" i="16"/>
  <c r="G19" i="29" s="1"/>
  <c r="C6" i="29"/>
  <c r="C6" i="25"/>
  <c r="C6" i="30"/>
  <c r="C6" i="27"/>
  <c r="C6" i="31"/>
  <c r="C6" i="28"/>
  <c r="C8" i="27"/>
  <c r="C8" i="31"/>
  <c r="C8" i="28"/>
  <c r="C8" i="30"/>
  <c r="C8" i="29"/>
  <c r="C8" i="25"/>
  <c r="C5" i="25"/>
  <c r="C5" i="30"/>
  <c r="C5" i="27"/>
  <c r="C5" i="29"/>
  <c r="C5" i="28"/>
  <c r="C5" i="31"/>
  <c r="C19" i="27" l="1"/>
  <c r="G18" i="29"/>
  <c r="D16" i="29" s="1"/>
  <c r="G19" i="16"/>
  <c r="G20" i="16" s="1"/>
  <c r="C20" i="38" l="1"/>
  <c r="F19" i="30"/>
  <c r="G20" i="29"/>
  <c r="G20" i="19" l="1"/>
  <c r="F20" i="30" s="1"/>
  <c r="G21" i="29"/>
</calcChain>
</file>

<file path=xl/sharedStrings.xml><?xml version="1.0" encoding="utf-8"?>
<sst xmlns="http://schemas.openxmlformats.org/spreadsheetml/2006/main" count="1710" uniqueCount="406">
  <si>
    <t>PHIẾU YẾU CẦU XUẤT KHO NGUYÊN VẬT LIỆU</t>
  </si>
  <si>
    <t>Mã số: PXK NVL</t>
  </si>
  <si>
    <t>Ngày ban hành: 8/1/2022</t>
  </si>
  <si>
    <t>Số phiếu:</t>
  </si>
  <si>
    <t>Tên khách hàng</t>
  </si>
  <si>
    <t>Thông tin</t>
  </si>
  <si>
    <t>ĐVT</t>
  </si>
  <si>
    <t>Thông số</t>
  </si>
  <si>
    <t>Bộ phận yêu cầu</t>
  </si>
  <si>
    <t>Bộ phận kho</t>
  </si>
  <si>
    <t>Tên sản phẩm</t>
  </si>
  <si>
    <t>Số lượng đặt</t>
  </si>
  <si>
    <t>bao</t>
  </si>
  <si>
    <t>Lập</t>
  </si>
  <si>
    <t>Duyệt</t>
  </si>
  <si>
    <t>Thủ kho</t>
  </si>
  <si>
    <t>Mã sản phẩm</t>
  </si>
  <si>
    <t>Chiều dài bao sx</t>
  </si>
  <si>
    <t>mét</t>
  </si>
  <si>
    <t>Số YCSX</t>
  </si>
  <si>
    <t>Chiều ngang + hông</t>
  </si>
  <si>
    <t>Số phiếu SX</t>
  </si>
  <si>
    <t>Số lượng in thực tế</t>
  </si>
  <si>
    <t>Phạm Thành Luân</t>
  </si>
  <si>
    <t>Số màu in</t>
  </si>
  <si>
    <t>màu</t>
  </si>
  <si>
    <t>Khổ mành</t>
  </si>
  <si>
    <t>Khổ màng</t>
  </si>
  <si>
    <t>Khổ giấy</t>
  </si>
  <si>
    <t>Khối lượng túi lồng</t>
  </si>
  <si>
    <t>kg</t>
  </si>
  <si>
    <t>Tổ sử dụng</t>
  </si>
  <si>
    <t>STT</t>
  </si>
  <si>
    <t>Tên NVL</t>
  </si>
  <si>
    <t>Mã NVL</t>
  </si>
  <si>
    <t>Đơn vị</t>
  </si>
  <si>
    <t>Số lượng yêu cầu</t>
  </si>
  <si>
    <t>Số lượng thực tế xuất</t>
  </si>
  <si>
    <t>Ngày xuất</t>
  </si>
  <si>
    <t>Trả lại</t>
  </si>
  <si>
    <t>Số lượng sử dụng</t>
  </si>
  <si>
    <t>Người xuất</t>
  </si>
  <si>
    <t>Người nhận</t>
  </si>
  <si>
    <t>Lần 1</t>
  </si>
  <si>
    <t>Lần 2</t>
  </si>
  <si>
    <t>Lần 3</t>
  </si>
  <si>
    <t>Lần 4</t>
  </si>
  <si>
    <t>Tổng</t>
  </si>
  <si>
    <t>Tổ in</t>
  </si>
  <si>
    <t>Giấy Kraft vàng Nhật K1020 ĐL70</t>
  </si>
  <si>
    <t>GN07010200001</t>
  </si>
  <si>
    <t>Kg</t>
  </si>
  <si>
    <t>Lần 1:
Lần 2:
Lần 3:
Lần 4:</t>
  </si>
  <si>
    <t xml:space="preserve">Mực in OPP LW62 White (Trắng) Ariang			</t>
  </si>
  <si>
    <t>MOCLW62T00001</t>
  </si>
  <si>
    <t>Mét</t>
  </si>
  <si>
    <t xml:space="preserve">Mực in OPP 79 Green (Xanh lá) Ariang			</t>
  </si>
  <si>
    <t>MOC79XL000001</t>
  </si>
  <si>
    <t>Mực in OPP LY11-23 Yellow (Vàng chanh) Arirang</t>
  </si>
  <si>
    <t>MODALY11V0002</t>
  </si>
  <si>
    <t>MOC94D0000001</t>
  </si>
  <si>
    <t>Mực in OPP Medium Arirang</t>
  </si>
  <si>
    <t>MOCLME2100001</t>
  </si>
  <si>
    <t>Mực in OPP 39 Blue Arirang</t>
  </si>
  <si>
    <t>MODLB39XD0001</t>
  </si>
  <si>
    <t>Mực in OPP 16 Red (Đỏ đậm) Arirang</t>
  </si>
  <si>
    <t>MOD16DS000002</t>
  </si>
  <si>
    <t>Mực in OPP 11 Red (Đỏ cờ) Arirang</t>
  </si>
  <si>
    <t>MOD11DC000001</t>
  </si>
  <si>
    <t>Mực in OPP 7549 (Vàng) Arirang (Bestmix)</t>
  </si>
  <si>
    <t>MOC7549V00001</t>
  </si>
  <si>
    <t>Mực in OPP 83-2 (Tím) Violet Arirang</t>
  </si>
  <si>
    <t>MOC832V000001</t>
  </si>
  <si>
    <t>Mực in OPP Cam 52 Arirang</t>
  </si>
  <si>
    <t>MOC52C000001</t>
  </si>
  <si>
    <t>Thành phẩm dự kiến:</t>
  </si>
  <si>
    <t>Cái</t>
  </si>
  <si>
    <t>Mực in OPP Vàng 2454 (Bestmix)</t>
  </si>
  <si>
    <t>MOS2454Y00001</t>
  </si>
  <si>
    <t>GHI CHÚ:</t>
  </si>
  <si>
    <t>Mực in OPP Tím 2111C (Bestmix)</t>
  </si>
  <si>
    <t>MOC2111CT0001</t>
  </si>
  <si>
    <t>`</t>
  </si>
  <si>
    <t>CÔNG TY TNHH NEO NAM VIỆT</t>
  </si>
  <si>
    <t>BT1KH00051KP0003</t>
  </si>
  <si>
    <t>Bao giấy 25kg AM-20</t>
  </si>
  <si>
    <t xml:space="preserve">24BA2DKH00051000014       </t>
  </si>
  <si>
    <t>Chiều dài bao</t>
  </si>
  <si>
    <t>Tổ tráng</t>
  </si>
  <si>
    <t>Mành trắng K1060 ĐL70</t>
  </si>
  <si>
    <t>MW07010600001</t>
  </si>
  <si>
    <t>Taical</t>
  </si>
  <si>
    <t>NHTEFPP010511</t>
  </si>
  <si>
    <t>Dán</t>
  </si>
  <si>
    <t>NKPN0100001</t>
  </si>
  <si>
    <t>Lần 1:
Lần 2:
Lần 3:</t>
  </si>
  <si>
    <t>Vistamaxx</t>
  </si>
  <si>
    <t>NHVITAMAX0001</t>
  </si>
  <si>
    <t>Keo Acrylic</t>
  </si>
  <si>
    <t>PKACRYLIC0001</t>
  </si>
  <si>
    <t>Tổ thổi</t>
  </si>
  <si>
    <t>Hạt taical trắng EFPE 75T</t>
  </si>
  <si>
    <t>NHTEFPE75T01</t>
  </si>
  <si>
    <t>Túi PE rin 52x112cm 40gr, đáy dài</t>
  </si>
  <si>
    <t>TEB0400521121</t>
  </si>
  <si>
    <t>May</t>
  </si>
  <si>
    <t>Chỉ may trắng</t>
  </si>
  <si>
    <t>VC10000000001</t>
  </si>
  <si>
    <t>Dây bó bao xám</t>
  </si>
  <si>
    <t>VC40000000001</t>
  </si>
  <si>
    <t>Nẹp KP vàng Nhật 6cm</t>
  </si>
  <si>
    <t>NKPVN06000001</t>
  </si>
  <si>
    <t>LỆNH SẢN XUẤT</t>
  </si>
  <si>
    <t>Số hiệu: QTKSX-BM03</t>
  </si>
  <si>
    <t>Phiên bản: 00</t>
  </si>
  <si>
    <t>Hiệu lực: 01/10/2023</t>
  </si>
  <si>
    <t>Số phiếu YCSX:</t>
  </si>
  <si>
    <t xml:space="preserve">Mã sản phẩm: </t>
  </si>
  <si>
    <t>Tổ:</t>
  </si>
  <si>
    <t>In</t>
  </si>
  <si>
    <t>Tên sản phẩm:</t>
  </si>
  <si>
    <t>Ngày bắt đầu:</t>
  </si>
  <si>
    <t>…..h…..;….../….../2023</t>
  </si>
  <si>
    <t>Tên khách hàng:</t>
  </si>
  <si>
    <t>Ngày kết thúc:</t>
  </si>
  <si>
    <t>Người lập phiếu</t>
  </si>
  <si>
    <t>Người phê duyệt</t>
  </si>
  <si>
    <t>Họ và tên</t>
  </si>
  <si>
    <t>Lê Đức Thái Cơ</t>
  </si>
  <si>
    <t>Chức vụ</t>
  </si>
  <si>
    <t>Nhân viên kế hoạch</t>
  </si>
  <si>
    <t>Quản đốc</t>
  </si>
  <si>
    <t>Chữ ký</t>
  </si>
  <si>
    <t>Công Đoạn: Chia cuộn</t>
  </si>
  <si>
    <t>Tổ trưởng kiểm tra</t>
  </si>
  <si>
    <t>Loại bao</t>
  </si>
  <si>
    <t>Bao KP, may nẹp đáy bao, LTMS</t>
  </si>
  <si>
    <t>Kết quả</t>
  </si>
  <si>
    <t>Xác nhận</t>
  </si>
  <si>
    <t>Kích thước SX</t>
  </si>
  <si>
    <t>mm</t>
  </si>
  <si>
    <t>Kích thước TP</t>
  </si>
  <si>
    <t>Số lượng PO</t>
  </si>
  <si>
    <t>Sản lượng yêu cầu</t>
  </si>
  <si>
    <t>m</t>
  </si>
  <si>
    <t>Ca vận hành</t>
  </si>
  <si>
    <t>Ngày</t>
  </si>
  <si>
    <t>Nhân viên</t>
  </si>
  <si>
    <t>Chiều dài (mét)</t>
  </si>
  <si>
    <t>Ghi chú</t>
  </si>
  <si>
    <t>Ca ngày
7h30 - 19h30</t>
  </si>
  <si>
    <t>Ca đêm
19h30 - 7h30</t>
  </si>
  <si>
    <t>Tổng sản lượng</t>
  </si>
  <si>
    <t>Bên giao
(ký, họ &amp; tên)</t>
  </si>
  <si>
    <t>Bên nhận
(ký, họ &amp; tên)</t>
  </si>
  <si>
    <t>Công Đoạn: Ghép</t>
  </si>
  <si>
    <t>Công Đoạn: Bồi</t>
  </si>
  <si>
    <t xml:space="preserve">CÔNG TY TNHH SẢN XUẤT THƯƠNG MẠI DỊCH VỤ VỮNG TIẾN       </t>
  </si>
  <si>
    <t>XD2KH00309BP0002</t>
  </si>
  <si>
    <t>Bao đựng keo dán gạch VISION xám 25kg</t>
  </si>
  <si>
    <t xml:space="preserve">23S03MKH00309000031       </t>
  </si>
  <si>
    <t>KẾ HOẠCH</t>
  </si>
  <si>
    <t>QUẢN LÝ CHẤT LƯỢNG</t>
  </si>
  <si>
    <t>NGƯỜI NHẬN</t>
  </si>
  <si>
    <t>(Ký xác nhận)</t>
  </si>
  <si>
    <t>Hiệu lực: 2023-11-09</t>
  </si>
  <si>
    <t>Công Đoạn: In Flexo</t>
  </si>
  <si>
    <t>Bao KP</t>
  </si>
  <si>
    <t>500 x 920</t>
  </si>
  <si>
    <t>Tráng - Dán</t>
  </si>
  <si>
    <t>Công Đoạn: Tráng Ghép</t>
  </si>
  <si>
    <t>Công Đoạn: Dán Cắt</t>
  </si>
  <si>
    <t>Thổi</t>
  </si>
  <si>
    <t>Công Đoạn: Thổi - Cắt</t>
  </si>
  <si>
    <t>Khối lượng (Kg)</t>
  </si>
  <si>
    <t>Công Đoạn: May, lồng túi</t>
  </si>
  <si>
    <t>Số lượng (bao)</t>
  </si>
  <si>
    <t>Công Đoạn: Đóng gói</t>
  </si>
  <si>
    <t>NHẬT KÝ SẢN XUẤT</t>
  </si>
  <si>
    <t>Số hiệu: QTSXU-BM01</t>
  </si>
  <si>
    <t xml:space="preserve">CÔNG TY TNHH RANGSEY-KHANHA        </t>
  </si>
  <si>
    <t>NN2KH00240BP0001</t>
  </si>
  <si>
    <t>Bao Lúa giống Rangsey 40kg (đỏ)</t>
  </si>
  <si>
    <t xml:space="preserve">23S03LKH00240000056       </t>
  </si>
  <si>
    <t>Tổ :</t>
  </si>
  <si>
    <t>Nhân viên kiểm tra NVL</t>
  </si>
  <si>
    <t>Số lượng theo PO (Mét)</t>
  </si>
  <si>
    <t>Số lượng thực tế (Mét)</t>
  </si>
  <si>
    <t>Tỷ lệ</t>
  </si>
  <si>
    <t>Định mức</t>
  </si>
  <si>
    <t>Thực tế</t>
  </si>
  <si>
    <t>Trả về</t>
  </si>
  <si>
    <t>Kiểm soát chất lượng</t>
  </si>
  <si>
    <t>Chức Vụ</t>
  </si>
  <si>
    <t>Ký tên</t>
  </si>
  <si>
    <t>Thông số quá trình</t>
  </si>
  <si>
    <t>Tiêu chuẩn</t>
  </si>
  <si>
    <t>Kết quả kiểm tra</t>
  </si>
  <si>
    <t>Phế liệu</t>
  </si>
  <si>
    <t>Khối lượng
(Kg)</t>
  </si>
  <si>
    <t>Người cân</t>
  </si>
  <si>
    <t>QLCL</t>
  </si>
  <si>
    <t>____:____</t>
  </si>
  <si>
    <t>Kích thước nhông in</t>
  </si>
  <si>
    <t>920 ± 10</t>
  </si>
  <si>
    <t>Tốc độ in</t>
  </si>
  <si>
    <t xml:space="preserve">140 ± 10 </t>
  </si>
  <si>
    <t>Hz</t>
  </si>
  <si>
    <t>Tốc độ quấn cuộn</t>
  </si>
  <si>
    <t>Từ 0 - 5000 mét: 750 ± 50
Lớn hơn 5000 mét: 950 ± 50</t>
  </si>
  <si>
    <t>R.P.M</t>
  </si>
  <si>
    <t>Thông số sản phẩm</t>
  </si>
  <si>
    <t>Kích thước</t>
  </si>
  <si>
    <t>Đúng yêu cầu</t>
  </si>
  <si>
    <t>Màu sắc trên giấy</t>
  </si>
  <si>
    <t>ΔE ≤ 1.6</t>
  </si>
  <si>
    <t>Độ bám dính</t>
  </si>
  <si>
    <t>Không bong tróc mực</t>
  </si>
  <si>
    <t>Ngoại quan</t>
  </si>
  <si>
    <t>Không lem mực
Không lệch chồng màu
Không xước mực
Không mất mực
Không đổ cuộn</t>
  </si>
  <si>
    <t>Thành phẩm in</t>
  </si>
  <si>
    <r>
      <rPr>
        <b/>
        <sz val="10"/>
        <color theme="1"/>
        <rFont val="Times New Roman"/>
        <family val="1"/>
      </rPr>
      <t xml:space="preserve">Bên giao
</t>
    </r>
    <r>
      <rPr>
        <b/>
        <i/>
        <sz val="10"/>
        <color theme="1"/>
        <rFont val="Times New Roman"/>
        <family val="1"/>
      </rPr>
      <t>(ký, họ &amp; tên)</t>
    </r>
  </si>
  <si>
    <r>
      <rPr>
        <b/>
        <sz val="10"/>
        <color theme="1"/>
        <rFont val="Times New Roman"/>
        <family val="1"/>
      </rPr>
      <t xml:space="preserve">Bên nhận
</t>
    </r>
    <r>
      <rPr>
        <b/>
        <i/>
        <sz val="10"/>
        <color theme="1"/>
        <rFont val="Times New Roman"/>
        <family val="1"/>
      </rPr>
      <t>(ký, họ &amp; tên)</t>
    </r>
  </si>
  <si>
    <t>Chiều dài (Mét)</t>
  </si>
  <si>
    <t>Công Đoạn: Chia Cuộn</t>
  </si>
  <si>
    <t>Lực thắng cuộn</t>
  </si>
  <si>
    <t>3.5 ± 0.5</t>
  </si>
  <si>
    <t>V</t>
  </si>
  <si>
    <t>Lực quấn</t>
  </si>
  <si>
    <t>37.5 ± 2.5</t>
  </si>
  <si>
    <t>RPM</t>
  </si>
  <si>
    <t>Tốc độ kéo</t>
  </si>
  <si>
    <t xml:space="preserve">110 ± 10 </t>
  </si>
  <si>
    <t>Khoảng cách từ điểm cắt đến biên cắt</t>
  </si>
  <si>
    <t>2 ± 1</t>
  </si>
  <si>
    <t>Cuộn xả tối đa</t>
  </si>
  <si>
    <t>Cuộn quấn tối đa</t>
  </si>
  <si>
    <t>Khổ màng chia biên</t>
  </si>
  <si>
    <t>Không gấp màng
Không đổ cuộn
Không trầy xước</t>
  </si>
  <si>
    <t>Thành phẩm chia cuộn</t>
  </si>
  <si>
    <t>Thành phẩm chia biên</t>
  </si>
  <si>
    <t>Mã mành sản xuất</t>
  </si>
  <si>
    <t>Khối lượng nhựa cần</t>
  </si>
  <si>
    <t>Tốc độ máy</t>
  </si>
  <si>
    <t>Độ rộng đường dán</t>
  </si>
  <si>
    <t>35 - 40</t>
  </si>
  <si>
    <t>5 - 24</t>
  </si>
  <si>
    <t>Khổ thành phẩm</t>
  </si>
  <si>
    <t>Lực ép lô</t>
  </si>
  <si>
    <t>5.5 ± 0.5</t>
  </si>
  <si>
    <t>Bar</t>
  </si>
  <si>
    <t>Định lượng TP</t>
  </si>
  <si>
    <t>160 ± 3</t>
  </si>
  <si>
    <t>G/m²</t>
  </si>
  <si>
    <t>Nhiệt độ làm mát lô</t>
  </si>
  <si>
    <t>°C</t>
  </si>
  <si>
    <t>Định lượng keo</t>
  </si>
  <si>
    <t>Không bong tróc</t>
  </si>
  <si>
    <t>Thông số nhiệt đầu khuôn vùng 1</t>
  </si>
  <si>
    <t>290 ± 2</t>
  </si>
  <si>
    <t>Không nhăn
Không gồ
Không cao mép
Không đổ cuộn</t>
  </si>
  <si>
    <t>Thông số nhiệt đầu khuôn vùng 2</t>
  </si>
  <si>
    <t>Thông số nhiệt đầu khuôn vùng 3</t>
  </si>
  <si>
    <t>Thông số nhiệt đầu khuôn vùng 4</t>
  </si>
  <si>
    <t>Thông số nhiệt đầu khuôn vùng 5</t>
  </si>
  <si>
    <t>Thông số nhiệt đầu khuôn vùng 6</t>
  </si>
  <si>
    <t>Thông số nhiệt đầu khuôn vùng 7</t>
  </si>
  <si>
    <t>Thông số nhiệt trục vít vùng 1</t>
  </si>
  <si>
    <t>Thông số nhiệt trục vít vùng 2</t>
  </si>
  <si>
    <t>Thông số nhiệt trục vít vùng 3</t>
  </si>
  <si>
    <t>250 ± 2</t>
  </si>
  <si>
    <t>Thông số nhiệt trục vít vùng 4</t>
  </si>
  <si>
    <t>260 ± 2</t>
  </si>
  <si>
    <t>Thông số nhiệt trục vít vùng 5</t>
  </si>
  <si>
    <t>270 ± 2</t>
  </si>
  <si>
    <t>Khôí lượng
(Kg)</t>
  </si>
  <si>
    <t>Thông số nhiệt trục vít vùng 6</t>
  </si>
  <si>
    <t>Tốc độ đùn keo</t>
  </si>
  <si>
    <t>39 ± 5</t>
  </si>
  <si>
    <t>Thời gian trộn keo trong bồn</t>
  </si>
  <si>
    <t>3 - 5</t>
  </si>
  <si>
    <t>Phút</t>
  </si>
  <si>
    <t>Chiều rộng khuôn xả keo</t>
  </si>
  <si>
    <t>Độ rộng biên cắt</t>
  </si>
  <si>
    <t>Khe hở miệng khuôn</t>
  </si>
  <si>
    <t>Chiều dài cuộn thành phẩm tối đa</t>
  </si>
  <si>
    <t>Thành phẩm tráng</t>
  </si>
  <si>
    <t>Tốc độ keo</t>
  </si>
  <si>
    <t>55 ± 5</t>
  </si>
  <si>
    <t>Lái cuộn</t>
  </si>
  <si>
    <t>Lực ép đường dán</t>
  </si>
  <si>
    <t>Kích thước nhông</t>
  </si>
  <si>
    <t>Số đường keo</t>
  </si>
  <si>
    <t>Đường</t>
  </si>
  <si>
    <t>Điều chỉnh dưỡng</t>
  </si>
  <si>
    <t>200 ± 10</t>
  </si>
  <si>
    <t>Độ sâu tối đa của dĩa xếp hong</t>
  </si>
  <si>
    <t>50 ± 3</t>
  </si>
  <si>
    <t>Nhiệt độ đầu khuôn</t>
  </si>
  <si>
    <t>270 ± 5</t>
  </si>
  <si>
    <t>Nhiệt độ trục vít vùng 1</t>
  </si>
  <si>
    <t>255 ± 5</t>
  </si>
  <si>
    <t>Nhiệt độ trục vít vùng 2</t>
  </si>
  <si>
    <t>280 ± 5</t>
  </si>
  <si>
    <t>Nhiệt độ trục vít vùng 3</t>
  </si>
  <si>
    <t>Kích thước chiều dài</t>
  </si>
  <si>
    <t>Kích thước chiều rộng</t>
  </si>
  <si>
    <t>500 ± 10</t>
  </si>
  <si>
    <t>Kích thước hông</t>
  </si>
  <si>
    <t>Độ lệch hông cho phép</t>
  </si>
  <si>
    <t xml:space="preserve">≤ 5 </t>
  </si>
  <si>
    <t>Đường dư biên</t>
  </si>
  <si>
    <t xml:space="preserve">≤ 2 </t>
  </si>
  <si>
    <t>Độ tràn keo cho phép</t>
  </si>
  <si>
    <t xml:space="preserve">Độ lệch dấu bao </t>
  </si>
  <si>
    <t>Bám dính</t>
  </si>
  <si>
    <t>Ngấu khi xé
Keo tản đều nhau</t>
  </si>
  <si>
    <t>Không bị nhăn, gấp bao
Không bị tưa, dập đầu bao
Không bị cà hông
Không bị lệch hông</t>
  </si>
  <si>
    <t>Bán thành phẩm trước khi dán (Kg)</t>
  </si>
  <si>
    <t>Thành phẩm dán (Mét)</t>
  </si>
  <si>
    <t>Lực quấn cuộn</t>
  </si>
  <si>
    <t>Thông số nhiệt vùng 1</t>
  </si>
  <si>
    <t>Thông số nhiệt vùng 2</t>
  </si>
  <si>
    <t>Thông số nhiệt vùng 3</t>
  </si>
  <si>
    <t>Thông số nhiệt vùng 4</t>
  </si>
  <si>
    <t>Thông số nhiệt vùng 5</t>
  </si>
  <si>
    <t>Tốc độ kéo bóng</t>
  </si>
  <si>
    <t>35 ± 5</t>
  </si>
  <si>
    <t>520 ± 10</t>
  </si>
  <si>
    <t>1120 ± 10</t>
  </si>
  <si>
    <t>Kích thước đáy</t>
  </si>
  <si>
    <t>40 - 50</t>
  </si>
  <si>
    <t>Độ dày</t>
  </si>
  <si>
    <t>μm</t>
  </si>
  <si>
    <t>Khối lượng</t>
  </si>
  <si>
    <t>40 ± 1</t>
  </si>
  <si>
    <t>g</t>
  </si>
  <si>
    <t>Không bám bụi bẩn Không dính dầu nhớt
Không rách túi</t>
  </si>
  <si>
    <t>Số lượng (Cái)</t>
  </si>
  <si>
    <t>Công Đoạn: May - Lồng túi</t>
  </si>
  <si>
    <t>Số lượng theo PO</t>
  </si>
  <si>
    <t>Bao</t>
  </si>
  <si>
    <t>Không bỏ mũi
Không đứt chỉ, rối chỉ
Không dính dầu nhớt</t>
  </si>
  <si>
    <t>Cắt nẹp</t>
  </si>
  <si>
    <t>Chênh lệch 2 đầu bao ≤20mm</t>
  </si>
  <si>
    <t>Quy cách</t>
  </si>
  <si>
    <t>LTMS</t>
  </si>
  <si>
    <t>Thành phẩm may</t>
  </si>
  <si>
    <t>Số lượng (Bao)</t>
  </si>
  <si>
    <t>Công Đoạn: Đóng Gói</t>
  </si>
  <si>
    <t>Bó bao</t>
  </si>
  <si>
    <t>100 bao/bó
Lật mặt trước bao lên trên</t>
  </si>
  <si>
    <t>Đóng gói</t>
  </si>
  <si>
    <t>Đúng yêu cầu số bao/kiện
Buộc dây chắc, không xộc xệch
Đúng màu sắc dây theo yêu cầu
Không có dị vật rơi vào</t>
  </si>
  <si>
    <t>200 bao/kiện</t>
  </si>
  <si>
    <t>Thành phẩm</t>
  </si>
  <si>
    <t>Số lượng (Bó)</t>
  </si>
  <si>
    <t>TP Kế hoạch</t>
  </si>
  <si>
    <t>Nguyễn Minh Quân</t>
  </si>
  <si>
    <t>Nẹp giấy Kraft nhật vàng 10cm</t>
  </si>
  <si>
    <t>NHPPFC9415G01</t>
  </si>
  <si>
    <t xml:space="preserve">NHÀ MÁY SX TINH BỘT SẮN TÂN CHÂU-CN CÔNG TY CPNS THỰC PHẨM QUẢNG NGÃI					</t>
  </si>
  <si>
    <t>Số lô / số lot</t>
  </si>
  <si>
    <t>Mực in Flexo Đỏ 1379R</t>
  </si>
  <si>
    <t>MFB1379R0000001</t>
  </si>
  <si>
    <t xml:space="preserve">Mực in OPP 94 Black (Đen) Ariang			</t>
  </si>
  <si>
    <t>Đỏ 1379R</t>
  </si>
  <si>
    <r>
      <t xml:space="preserve">Bên giao
</t>
    </r>
    <r>
      <rPr>
        <b/>
        <i/>
        <sz val="9"/>
        <color theme="1"/>
        <rFont val="UTM Avo"/>
        <family val="1"/>
      </rPr>
      <t>(ký, họ &amp; tên)</t>
    </r>
  </si>
  <si>
    <r>
      <t xml:space="preserve">Bên nhận
</t>
    </r>
    <r>
      <rPr>
        <b/>
        <i/>
        <sz val="9"/>
        <color theme="1"/>
        <rFont val="UTM Avo"/>
        <family val="1"/>
      </rPr>
      <t>(ký, họ &amp; tên)</t>
    </r>
  </si>
  <si>
    <t>Giám sát kỹ thuật</t>
  </si>
  <si>
    <t>97 ± 5</t>
  </si>
  <si>
    <t>m/phút</t>
  </si>
  <si>
    <t>24 ± 2</t>
  </si>
  <si>
    <t>65 ± 5</t>
  </si>
  <si>
    <t>Thông số nhiệt trục vít vùng 0</t>
  </si>
  <si>
    <t>220 ± 2</t>
  </si>
  <si>
    <t>225 ± 2</t>
  </si>
  <si>
    <t>255 ± 2</t>
  </si>
  <si>
    <t>100 ± 10</t>
  </si>
  <si>
    <t>570 ± 10</t>
  </si>
  <si>
    <t>Đáy bao: ≤ 5
Miệng bao: ≤5</t>
  </si>
  <si>
    <t>≤ 0,5</t>
  </si>
  <si>
    <t>38 ± 1</t>
  </si>
  <si>
    <t>NHLLDPEFJF10020SP</t>
  </si>
  <si>
    <t xml:space="preserve">LDPE </t>
  </si>
  <si>
    <t>Ngày ........../........./ 2026</t>
  </si>
  <si>
    <t>Ngày ........../.........../ 2026</t>
  </si>
  <si>
    <t>…..h…..;….../….../2026</t>
  </si>
  <si>
    <t>Tạm ứng</t>
  </si>
  <si>
    <t>Bao giấy 25kg AM-20 Tân Châu</t>
  </si>
  <si>
    <t>BT1KH00563KP0004</t>
  </si>
  <si>
    <t>Đen 92</t>
  </si>
  <si>
    <t>MFB92D0000001</t>
  </si>
  <si>
    <t>Nâu 7204N</t>
  </si>
  <si>
    <t>MFBN7204NBXT001</t>
  </si>
  <si>
    <t>Mực in Flexo Đen 92</t>
  </si>
  <si>
    <t>Mực in Flexo Nâu 7204N</t>
  </si>
  <si>
    <t>Mực FLEXO tái chế</t>
  </si>
  <si>
    <t>MFLEXHH0000001</t>
  </si>
  <si>
    <t>M9600</t>
  </si>
  <si>
    <t>NHPPNSM960001</t>
  </si>
  <si>
    <t>F801C</t>
  </si>
  <si>
    <t>NHPPNSF801C001</t>
  </si>
  <si>
    <t>NHLLDPEFD21HN</t>
  </si>
  <si>
    <t>26BA2HKH00563000029</t>
  </si>
  <si>
    <t>SX2607045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</si>
</sst>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yyyy\-mm\-dd;@"/>
    <numFmt numFmtId="167" formatCode="0.000"/>
    <numFmt numFmtId="168" formatCode="_(* #,##0.000_);_(* \(#,##0.000\);_(* &quot;-&quot;??_);_(@_)"/>
    <numFmt numFmtId="169" formatCode="0.0%"/>
    <numFmt numFmtId="170" formatCode="m/d/yyyy;@"/>
    <numFmt numFmtId="171" formatCode="_(* #,##0.0_);_(* \(#,##0.0\);_(* &quot;-&quot;??_);_(@_)"/>
  </numFmts>
  <fonts count="29">
    <font>
      <sz val="11"/>
      <color theme="1"/>
      <name val="Calibri"/>
      <charset val="134"/>
      <scheme val="minor"/>
    </font>
    <font>
      <sz val="12"/>
      <color theme="1"/>
      <name val="Times New Roman"/>
      <family val="1"/>
    </font>
    <font>
      <sz val="4"/>
      <color theme="1"/>
      <name val="Times New Roman"/>
      <family val="1"/>
    </font>
    <font>
      <b/>
      <sz val="16"/>
      <color theme="1"/>
      <name val="Times New Roman"/>
      <family val="1"/>
    </font>
    <font>
      <sz val="11"/>
      <color theme="0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0"/>
      <color rgb="FFFF0000"/>
      <name val="Times New Roman"/>
      <family val="1"/>
    </font>
    <font>
      <sz val="11"/>
      <color theme="1"/>
      <name val="Times New Roman"/>
      <family val="1"/>
    </font>
    <font>
      <sz val="10"/>
      <color theme="1"/>
      <name val="Calibri"/>
      <family val="2"/>
      <scheme val="minor"/>
    </font>
    <font>
      <sz val="9"/>
      <color theme="1"/>
      <name val="Times New Roman"/>
      <family val="1"/>
    </font>
    <font>
      <sz val="12"/>
      <color theme="1"/>
      <name val="Wingdings 2"/>
      <family val="1"/>
      <charset val="2"/>
    </font>
    <font>
      <sz val="8"/>
      <color theme="1"/>
      <name val="Times New Roman"/>
      <family val="1"/>
    </font>
    <font>
      <b/>
      <sz val="14"/>
      <color theme="1"/>
      <name val="Times New Roman"/>
      <family val="1"/>
    </font>
    <font>
      <b/>
      <sz val="9"/>
      <color theme="1"/>
      <name val="Times New Roman"/>
      <family val="1"/>
    </font>
    <font>
      <sz val="9"/>
      <color rgb="FF000000"/>
      <name val="Times New Roman"/>
      <family val="1"/>
    </font>
    <font>
      <sz val="9"/>
      <color theme="1"/>
      <name val="Calibri"/>
      <family val="2"/>
      <scheme val="minor"/>
    </font>
    <font>
      <b/>
      <i/>
      <sz val="10"/>
      <color theme="1"/>
      <name val="Times New Roman"/>
      <family val="1"/>
    </font>
    <font>
      <sz val="11"/>
      <color theme="1"/>
      <name val="Calibri"/>
      <family val="2"/>
      <scheme val="minor"/>
    </font>
    <font>
      <sz val="9"/>
      <color theme="1"/>
      <name val="UTM Avo"/>
      <family val="1"/>
    </font>
    <font>
      <b/>
      <sz val="9"/>
      <color theme="1"/>
      <name val="UTM Avo"/>
      <family val="1"/>
    </font>
    <font>
      <sz val="9"/>
      <color rgb="FF000000"/>
      <name val="UTM Avo"/>
      <family val="1"/>
    </font>
    <font>
      <sz val="9"/>
      <color rgb="FFFF0000"/>
      <name val="UTM Avo"/>
      <family val="1"/>
    </font>
    <font>
      <sz val="9"/>
      <color theme="0"/>
      <name val="UTM Avo"/>
      <family val="1"/>
    </font>
    <font>
      <b/>
      <i/>
      <sz val="9"/>
      <color theme="1"/>
      <name val="UTM Avo"/>
      <family val="1"/>
    </font>
    <font>
      <b/>
      <sz val="9"/>
      <color rgb="FFFF0000"/>
      <name val="UTM Avo"/>
      <family val="1"/>
    </font>
    <font>
      <sz val="9"/>
      <name val="UTM Avo"/>
      <family val="1"/>
    </font>
    <font>
      <b/>
      <sz val="12"/>
      <color theme="1"/>
      <name val="UTM Avo"/>
      <family val="1"/>
    </font>
    <font>
      <sz val="12"/>
      <color theme="1"/>
      <name val="UTM Avo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FF"/>
        <bgColor rgb="FF000000"/>
      </patternFill>
    </fill>
  </fills>
  <borders count="8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medium">
        <color auto="1"/>
      </right>
      <top style="dashed">
        <color auto="1"/>
      </top>
      <bottom/>
      <diagonal/>
    </border>
    <border>
      <left style="medium">
        <color auto="1"/>
      </left>
      <right/>
      <top style="dashed">
        <color auto="1"/>
      </top>
      <bottom style="medium">
        <color auto="1"/>
      </bottom>
      <diagonal/>
    </border>
    <border>
      <left/>
      <right/>
      <top style="dashed">
        <color auto="1"/>
      </top>
      <bottom style="medium">
        <color auto="1"/>
      </bottom>
      <diagonal/>
    </border>
    <border>
      <left/>
      <right style="medium">
        <color auto="1"/>
      </right>
      <top style="dashed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dashed">
        <color auto="1"/>
      </bottom>
      <diagonal/>
    </border>
    <border>
      <left/>
      <right/>
      <top style="thin">
        <color auto="1"/>
      </top>
      <bottom style="dashed">
        <color auto="1"/>
      </bottom>
      <diagonal/>
    </border>
    <border>
      <left/>
      <right style="medium">
        <color auto="1"/>
      </right>
      <top style="thin">
        <color auto="1"/>
      </top>
      <bottom style="dashed">
        <color auto="1"/>
      </bottom>
      <diagonal/>
    </border>
    <border>
      <left style="medium">
        <color auto="1"/>
      </left>
      <right/>
      <top style="dashed">
        <color auto="1"/>
      </top>
      <bottom style="dashed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 style="medium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</borders>
  <cellStyleXfs count="4">
    <xf numFmtId="0" fontId="0" fillId="0" borderId="0"/>
    <xf numFmtId="164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43" fontId="18" fillId="0" borderId="0" applyFont="0" applyFill="0" applyBorder="0" applyAlignment="0" applyProtection="0"/>
  </cellStyleXfs>
  <cellXfs count="923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5" fillId="0" borderId="10" xfId="0" applyFont="1" applyBorder="1" applyAlignment="1">
      <alignment horizontal="center" vertical="center"/>
    </xf>
    <xf numFmtId="0" fontId="6" fillId="0" borderId="12" xfId="0" applyFont="1" applyBorder="1" applyAlignment="1">
      <alignment horizontal="left" vertical="center"/>
    </xf>
    <xf numFmtId="0" fontId="6" fillId="0" borderId="12" xfId="0" applyFont="1" applyBorder="1" applyAlignment="1">
      <alignment horizontal="center" vertical="center"/>
    </xf>
    <xf numFmtId="0" fontId="6" fillId="0" borderId="14" xfId="0" applyFont="1" applyBorder="1" applyAlignment="1">
      <alignment horizontal="left" vertical="center"/>
    </xf>
    <xf numFmtId="0" fontId="5" fillId="0" borderId="11" xfId="0" applyFont="1" applyBorder="1" applyAlignment="1">
      <alignment vertical="center"/>
    </xf>
    <xf numFmtId="0" fontId="5" fillId="0" borderId="12" xfId="0" applyFont="1" applyBorder="1" applyAlignment="1">
      <alignment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 wrapText="1"/>
    </xf>
    <xf numFmtId="165" fontId="5" fillId="0" borderId="12" xfId="1" applyNumberFormat="1" applyFont="1" applyBorder="1" applyAlignment="1">
      <alignment horizontal="center" vertical="center"/>
    </xf>
    <xf numFmtId="165" fontId="5" fillId="0" borderId="18" xfId="1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vertical="center" wrapText="1"/>
    </xf>
    <xf numFmtId="9" fontId="6" fillId="0" borderId="12" xfId="2" applyFont="1" applyBorder="1" applyAlignment="1">
      <alignment horizontal="center" vertical="center" wrapText="1"/>
    </xf>
    <xf numFmtId="165" fontId="6" fillId="0" borderId="12" xfId="1" applyNumberFormat="1" applyFont="1" applyBorder="1" applyAlignment="1">
      <alignment horizontal="center" vertical="center"/>
    </xf>
    <xf numFmtId="165" fontId="6" fillId="0" borderId="18" xfId="1" applyNumberFormat="1" applyFont="1" applyBorder="1" applyAlignment="1">
      <alignment horizontal="center" vertical="center"/>
    </xf>
    <xf numFmtId="0" fontId="6" fillId="0" borderId="12" xfId="0" applyFont="1" applyBorder="1" applyAlignment="1">
      <alignment vertical="center"/>
    </xf>
    <xf numFmtId="165" fontId="6" fillId="0" borderId="12" xfId="0" applyNumberFormat="1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vertical="center" wrapText="1"/>
    </xf>
    <xf numFmtId="165" fontId="6" fillId="0" borderId="14" xfId="0" applyNumberFormat="1" applyFont="1" applyBorder="1" applyAlignment="1">
      <alignment vertical="center"/>
    </xf>
    <xf numFmtId="9" fontId="6" fillId="0" borderId="14" xfId="2" applyFont="1" applyBorder="1" applyAlignment="1">
      <alignment vertical="center"/>
    </xf>
    <xf numFmtId="0" fontId="6" fillId="0" borderId="14" xfId="0" applyFont="1" applyBorder="1" applyAlignment="1">
      <alignment vertical="center"/>
    </xf>
    <xf numFmtId="0" fontId="6" fillId="0" borderId="23" xfId="0" applyFont="1" applyBorder="1" applyAlignment="1">
      <alignment vertical="center"/>
    </xf>
    <xf numFmtId="0" fontId="6" fillId="0" borderId="0" xfId="0" applyFont="1" applyAlignment="1">
      <alignment vertical="center" wrapText="1"/>
    </xf>
    <xf numFmtId="9" fontId="6" fillId="0" borderId="0" xfId="2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 wrapText="1"/>
    </xf>
    <xf numFmtId="9" fontId="6" fillId="0" borderId="12" xfId="2" applyFont="1" applyBorder="1" applyAlignment="1">
      <alignment horizontal="center" vertical="center"/>
    </xf>
    <xf numFmtId="9" fontId="6" fillId="0" borderId="12" xfId="2" applyFont="1" applyBorder="1" applyAlignment="1">
      <alignment vertical="center"/>
    </xf>
    <xf numFmtId="0" fontId="6" fillId="0" borderId="18" xfId="0" applyFont="1" applyBorder="1" applyAlignment="1">
      <alignment vertical="center"/>
    </xf>
    <xf numFmtId="0" fontId="7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6" fillId="0" borderId="14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1" fontId="6" fillId="0" borderId="0" xfId="0" applyNumberFormat="1" applyFont="1" applyAlignment="1">
      <alignment horizontal="left" vertical="center"/>
    </xf>
    <xf numFmtId="0" fontId="9" fillId="0" borderId="0" xfId="0" applyFont="1" applyAlignment="1">
      <alignment vertical="center"/>
    </xf>
    <xf numFmtId="166" fontId="6" fillId="0" borderId="0" xfId="0" applyNumberFormat="1" applyFont="1" applyAlignment="1">
      <alignment horizontal="left" vertical="center"/>
    </xf>
    <xf numFmtId="0" fontId="10" fillId="0" borderId="0" xfId="0" applyFont="1" applyAlignment="1">
      <alignment vertical="center"/>
    </xf>
    <xf numFmtId="0" fontId="1" fillId="0" borderId="0" xfId="0" applyFont="1" applyAlignment="1">
      <alignment horizontal="left" vertical="center" wrapText="1"/>
    </xf>
    <xf numFmtId="0" fontId="6" fillId="0" borderId="5" xfId="0" applyFont="1" applyBorder="1" applyAlignment="1">
      <alignment vertical="center"/>
    </xf>
    <xf numFmtId="0" fontId="6" fillId="0" borderId="8" xfId="0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5" fillId="0" borderId="24" xfId="0" applyFont="1" applyBorder="1" applyAlignment="1">
      <alignment horizontal="center" vertical="center" wrapText="1"/>
    </xf>
    <xf numFmtId="167" fontId="1" fillId="0" borderId="0" xfId="0" applyNumberFormat="1" applyFont="1" applyAlignment="1">
      <alignment vertical="center"/>
    </xf>
    <xf numFmtId="16" fontId="1" fillId="0" borderId="0" xfId="0" applyNumberFormat="1" applyFont="1" applyAlignment="1">
      <alignment vertical="center"/>
    </xf>
    <xf numFmtId="0" fontId="5" fillId="0" borderId="0" xfId="0" applyFont="1" applyAlignment="1">
      <alignment vertical="center" wrapText="1"/>
    </xf>
    <xf numFmtId="0" fontId="12" fillId="0" borderId="0" xfId="0" applyFont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/>
    </xf>
    <xf numFmtId="9" fontId="6" fillId="0" borderId="14" xfId="2" applyFont="1" applyBorder="1" applyAlignment="1">
      <alignment horizontal="center" vertical="center"/>
    </xf>
    <xf numFmtId="9" fontId="6" fillId="0" borderId="0" xfId="2" applyFont="1" applyBorder="1" applyAlignment="1">
      <alignment horizontal="center" vertical="center"/>
    </xf>
    <xf numFmtId="0" fontId="6" fillId="2" borderId="14" xfId="0" applyFont="1" applyFill="1" applyBorder="1" applyAlignment="1">
      <alignment vertical="center"/>
    </xf>
    <xf numFmtId="0" fontId="6" fillId="2" borderId="23" xfId="0" applyFont="1" applyFill="1" applyBorder="1" applyAlignment="1">
      <alignment vertical="center"/>
    </xf>
    <xf numFmtId="164" fontId="1" fillId="0" borderId="0" xfId="0" applyNumberFormat="1" applyFont="1" applyAlignment="1">
      <alignment vertical="center"/>
    </xf>
    <xf numFmtId="0" fontId="1" fillId="0" borderId="20" xfId="0" applyFont="1" applyBorder="1" applyAlignment="1">
      <alignment vertical="center"/>
    </xf>
    <xf numFmtId="0" fontId="12" fillId="0" borderId="20" xfId="0" applyFont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0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15" fillId="4" borderId="0" xfId="0" applyFont="1" applyFill="1" applyAlignment="1">
      <alignment horizontal="left" vertical="center" wrapText="1"/>
    </xf>
    <xf numFmtId="0" fontId="10" fillId="0" borderId="0" xfId="0" applyFont="1" applyAlignment="1">
      <alignment horizontal="left" vertical="center"/>
    </xf>
    <xf numFmtId="0" fontId="14" fillId="0" borderId="10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12" xfId="0" applyFont="1" applyBorder="1" applyAlignment="1">
      <alignment vertical="center"/>
    </xf>
    <xf numFmtId="0" fontId="10" fillId="0" borderId="14" xfId="0" applyFont="1" applyBorder="1" applyAlignment="1">
      <alignment vertical="center"/>
    </xf>
    <xf numFmtId="0" fontId="10" fillId="0" borderId="41" xfId="0" applyFont="1" applyBorder="1" applyAlignment="1">
      <alignment vertical="center"/>
    </xf>
    <xf numFmtId="0" fontId="6" fillId="0" borderId="38" xfId="0" applyFont="1" applyBorder="1" applyAlignment="1">
      <alignment vertical="center"/>
    </xf>
    <xf numFmtId="0" fontId="6" fillId="0" borderId="39" xfId="0" applyFont="1" applyBorder="1" applyAlignment="1">
      <alignment vertical="center"/>
    </xf>
    <xf numFmtId="0" fontId="6" fillId="0" borderId="40" xfId="0" applyFont="1" applyBorder="1" applyAlignment="1">
      <alignment vertical="center"/>
    </xf>
    <xf numFmtId="0" fontId="16" fillId="0" borderId="0" xfId="0" applyFont="1" applyAlignment="1">
      <alignment vertical="center"/>
    </xf>
    <xf numFmtId="14" fontId="10" fillId="0" borderId="0" xfId="0" applyNumberFormat="1" applyFont="1" applyAlignment="1">
      <alignment horizontal="left" vertical="center"/>
    </xf>
    <xf numFmtId="0" fontId="14" fillId="0" borderId="32" xfId="0" applyFont="1" applyBorder="1" applyAlignment="1">
      <alignment horizontal="center" vertical="center"/>
    </xf>
    <xf numFmtId="0" fontId="14" fillId="0" borderId="33" xfId="0" applyFont="1" applyBorder="1" applyAlignment="1">
      <alignment horizontal="center" vertical="center"/>
    </xf>
    <xf numFmtId="0" fontId="14" fillId="0" borderId="42" xfId="0" applyFont="1" applyBorder="1" applyAlignment="1">
      <alignment horizontal="center" vertical="center"/>
    </xf>
    <xf numFmtId="0" fontId="14" fillId="0" borderId="66" xfId="0" applyFont="1" applyBorder="1" applyAlignment="1">
      <alignment horizontal="center" vertical="center"/>
    </xf>
    <xf numFmtId="165" fontId="10" fillId="0" borderId="0" xfId="0" applyNumberFormat="1" applyFont="1" applyAlignment="1">
      <alignment horizontal="left" vertical="center"/>
    </xf>
    <xf numFmtId="0" fontId="19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19" fillId="0" borderId="0" xfId="0" applyFont="1" applyAlignment="1">
      <alignment horizontal="left" vertical="center" wrapText="1"/>
    </xf>
    <xf numFmtId="0" fontId="19" fillId="0" borderId="0" xfId="0" applyFont="1" applyAlignment="1">
      <alignment horizontal="left" vertical="center"/>
    </xf>
    <xf numFmtId="0" fontId="21" fillId="4" borderId="0" xfId="0" applyFont="1" applyFill="1" applyAlignment="1">
      <alignment horizontal="left" vertical="center" wrapText="1"/>
    </xf>
    <xf numFmtId="14" fontId="19" fillId="0" borderId="0" xfId="0" applyNumberFormat="1" applyFont="1" applyAlignment="1">
      <alignment horizontal="left" vertical="center"/>
    </xf>
    <xf numFmtId="0" fontId="20" fillId="0" borderId="12" xfId="0" applyFont="1" applyBorder="1" applyAlignment="1">
      <alignment vertical="center"/>
    </xf>
    <xf numFmtId="0" fontId="20" fillId="0" borderId="4" xfId="0" applyFont="1" applyBorder="1" applyAlignment="1">
      <alignment horizontal="center" vertical="center"/>
    </xf>
    <xf numFmtId="0" fontId="20" fillId="0" borderId="59" xfId="0" applyFont="1" applyBorder="1" applyAlignment="1">
      <alignment horizontal="center" vertical="center"/>
    </xf>
    <xf numFmtId="0" fontId="20" fillId="0" borderId="58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165" fontId="20" fillId="0" borderId="12" xfId="1" applyNumberFormat="1" applyFont="1" applyBorder="1" applyAlignment="1">
      <alignment vertical="center"/>
    </xf>
    <xf numFmtId="0" fontId="20" fillId="0" borderId="10" xfId="0" applyFont="1" applyBorder="1" applyAlignment="1">
      <alignment horizontal="center" vertical="center"/>
    </xf>
    <xf numFmtId="0" fontId="19" fillId="0" borderId="12" xfId="0" applyFont="1" applyBorder="1" applyAlignment="1">
      <alignment vertical="center"/>
    </xf>
    <xf numFmtId="0" fontId="19" fillId="0" borderId="14" xfId="0" applyFont="1" applyBorder="1" applyAlignment="1">
      <alignment vertical="center"/>
    </xf>
    <xf numFmtId="0" fontId="19" fillId="0" borderId="41" xfId="0" applyFont="1" applyBorder="1" applyAlignment="1">
      <alignment vertical="center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horizontal="center"/>
    </xf>
    <xf numFmtId="0" fontId="19" fillId="0" borderId="0" xfId="0" applyFont="1"/>
    <xf numFmtId="0" fontId="19" fillId="0" borderId="0" xfId="0" applyFont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0" fontId="20" fillId="0" borderId="0" xfId="0" applyFont="1" applyAlignment="1">
      <alignment vertical="center" wrapText="1"/>
    </xf>
    <xf numFmtId="0" fontId="20" fillId="0" borderId="12" xfId="0" applyFont="1" applyBorder="1" applyAlignment="1">
      <alignment vertical="center" wrapText="1"/>
    </xf>
    <xf numFmtId="0" fontId="19" fillId="0" borderId="12" xfId="0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19" fillId="0" borderId="23" xfId="0" applyFont="1" applyBorder="1" applyAlignment="1">
      <alignment vertical="center"/>
    </xf>
    <xf numFmtId="165" fontId="19" fillId="0" borderId="0" xfId="0" applyNumberFormat="1" applyFont="1" applyAlignment="1">
      <alignment vertical="center"/>
    </xf>
    <xf numFmtId="0" fontId="19" fillId="0" borderId="0" xfId="0" applyFont="1" applyAlignment="1">
      <alignment horizontal="center" vertical="top"/>
    </xf>
    <xf numFmtId="0" fontId="20" fillId="0" borderId="14" xfId="0" applyFont="1" applyBorder="1" applyAlignment="1">
      <alignment horizontal="center" vertical="center"/>
    </xf>
    <xf numFmtId="171" fontId="19" fillId="0" borderId="10" xfId="1" applyNumberFormat="1" applyFont="1" applyBorder="1" applyAlignment="1">
      <alignment horizontal="center" vertical="center" wrapText="1"/>
    </xf>
    <xf numFmtId="1" fontId="19" fillId="0" borderId="24" xfId="0" applyNumberFormat="1" applyFont="1" applyBorder="1" applyAlignment="1">
      <alignment horizontal="right" vertical="center"/>
    </xf>
    <xf numFmtId="0" fontId="19" fillId="0" borderId="64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24" xfId="0" applyFont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0" fontId="19" fillId="0" borderId="67" xfId="0" applyFont="1" applyBorder="1" applyAlignment="1">
      <alignment horizontal="center" vertical="center"/>
    </xf>
    <xf numFmtId="0" fontId="19" fillId="0" borderId="87" xfId="0" applyFont="1" applyBorder="1" applyAlignment="1">
      <alignment horizontal="center" vertical="center"/>
    </xf>
    <xf numFmtId="171" fontId="19" fillId="0" borderId="12" xfId="1" applyNumberFormat="1" applyFont="1" applyBorder="1" applyAlignment="1">
      <alignment horizontal="center" vertical="center" wrapText="1"/>
    </xf>
    <xf numFmtId="165" fontId="19" fillId="0" borderId="18" xfId="1" applyNumberFormat="1" applyFont="1" applyBorder="1" applyAlignment="1">
      <alignment horizontal="right" vertical="center"/>
    </xf>
    <xf numFmtId="0" fontId="19" fillId="0" borderId="45" xfId="0" applyFont="1" applyBorder="1" applyAlignment="1">
      <alignment horizontal="center" vertical="center"/>
    </xf>
    <xf numFmtId="0" fontId="19" fillId="0" borderId="43" xfId="0" applyFont="1" applyBorder="1" applyAlignment="1">
      <alignment horizontal="center" vertical="center"/>
    </xf>
    <xf numFmtId="0" fontId="19" fillId="0" borderId="54" xfId="0" applyFont="1" applyBorder="1" applyAlignment="1">
      <alignment horizontal="center" vertical="center"/>
    </xf>
    <xf numFmtId="0" fontId="19" fillId="0" borderId="51" xfId="0" applyFont="1" applyBorder="1" applyAlignment="1">
      <alignment horizontal="center" vertical="center"/>
    </xf>
    <xf numFmtId="0" fontId="19" fillId="0" borderId="55" xfId="0" applyFont="1" applyBorder="1" applyAlignment="1">
      <alignment horizontal="center" vertical="center"/>
    </xf>
    <xf numFmtId="0" fontId="19" fillId="0" borderId="81" xfId="0" applyFont="1" applyBorder="1" applyAlignment="1">
      <alignment horizontal="center" vertical="center"/>
    </xf>
    <xf numFmtId="0" fontId="21" fillId="0" borderId="12" xfId="0" applyFont="1" applyBorder="1" applyAlignment="1">
      <alignment horizontal="left" vertical="center" wrapText="1"/>
    </xf>
    <xf numFmtId="0" fontId="21" fillId="0" borderId="18" xfId="0" applyFont="1" applyBorder="1" applyAlignment="1">
      <alignment horizontal="right" vertical="center" wrapText="1"/>
    </xf>
    <xf numFmtId="164" fontId="19" fillId="0" borderId="20" xfId="0" applyNumberFormat="1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68" xfId="0" applyFont="1" applyBorder="1" applyAlignment="1">
      <alignment horizontal="center" vertical="center"/>
    </xf>
    <xf numFmtId="0" fontId="19" fillId="0" borderId="82" xfId="0" applyFont="1" applyBorder="1" applyAlignment="1">
      <alignment horizontal="center" vertical="center"/>
    </xf>
    <xf numFmtId="0" fontId="21" fillId="4" borderId="18" xfId="0" applyFont="1" applyFill="1" applyBorder="1" applyAlignment="1">
      <alignment vertical="center" wrapText="1"/>
    </xf>
    <xf numFmtId="0" fontId="19" fillId="0" borderId="20" xfId="0" applyFont="1" applyBorder="1" applyAlignment="1">
      <alignment horizontal="center" vertical="center"/>
    </xf>
    <xf numFmtId="0" fontId="19" fillId="0" borderId="0" xfId="0" applyFont="1" applyAlignment="1">
      <alignment horizontal="right" vertical="center" wrapText="1"/>
    </xf>
    <xf numFmtId="0" fontId="21" fillId="0" borderId="12" xfId="0" applyFont="1" applyBorder="1" applyAlignment="1">
      <alignment vertical="center" wrapText="1"/>
    </xf>
    <xf numFmtId="0" fontId="21" fillId="4" borderId="12" xfId="0" applyFont="1" applyFill="1" applyBorder="1" applyAlignment="1">
      <alignment horizontal="left" vertical="center"/>
    </xf>
    <xf numFmtId="0" fontId="19" fillId="0" borderId="12" xfId="0" applyFont="1" applyBorder="1" applyAlignment="1">
      <alignment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8" xfId="0" applyFont="1" applyBorder="1" applyAlignment="1">
      <alignment horizontal="right" vertical="center" wrapText="1"/>
    </xf>
    <xf numFmtId="165" fontId="19" fillId="0" borderId="18" xfId="1" applyNumberFormat="1" applyFont="1" applyFill="1" applyBorder="1" applyAlignment="1">
      <alignment horizontal="right" vertical="center"/>
    </xf>
    <xf numFmtId="0" fontId="19" fillId="2" borderId="18" xfId="0" applyFont="1" applyFill="1" applyBorder="1" applyAlignment="1">
      <alignment vertical="center" wrapText="1"/>
    </xf>
    <xf numFmtId="0" fontId="19" fillId="0" borderId="33" xfId="0" applyFont="1" applyBorder="1" applyAlignment="1">
      <alignment horizontal="center" vertical="center"/>
    </xf>
    <xf numFmtId="0" fontId="19" fillId="0" borderId="41" xfId="0" applyFont="1" applyBorder="1" applyAlignment="1">
      <alignment horizontal="center" vertical="center"/>
    </xf>
    <xf numFmtId="0" fontId="19" fillId="0" borderId="53" xfId="0" applyFont="1" applyBorder="1" applyAlignment="1">
      <alignment horizontal="center" vertical="center"/>
    </xf>
    <xf numFmtId="0" fontId="19" fillId="0" borderId="49" xfId="0" applyFont="1" applyBorder="1" applyAlignment="1">
      <alignment horizontal="center" vertical="center"/>
    </xf>
    <xf numFmtId="0" fontId="19" fillId="0" borderId="32" xfId="0" applyFont="1" applyBorder="1" applyAlignment="1">
      <alignment horizontal="center" vertical="center"/>
    </xf>
    <xf numFmtId="0" fontId="19" fillId="0" borderId="83" xfId="0" applyFont="1" applyBorder="1" applyAlignment="1">
      <alignment horizontal="center" vertical="center"/>
    </xf>
    <xf numFmtId="0" fontId="19" fillId="2" borderId="14" xfId="0" applyFont="1" applyFill="1" applyBorder="1" applyAlignment="1">
      <alignment vertical="center" wrapText="1"/>
    </xf>
    <xf numFmtId="0" fontId="19" fillId="2" borderId="14" xfId="0" applyFont="1" applyFill="1" applyBorder="1" applyAlignment="1">
      <alignment vertical="center"/>
    </xf>
    <xf numFmtId="0" fontId="19" fillId="2" borderId="14" xfId="0" applyFont="1" applyFill="1" applyBorder="1" applyAlignment="1">
      <alignment horizontal="center" vertical="center" wrapText="1"/>
    </xf>
    <xf numFmtId="0" fontId="19" fillId="2" borderId="23" xfId="0" applyFont="1" applyFill="1" applyBorder="1" applyAlignment="1">
      <alignment vertical="center" wrapText="1"/>
    </xf>
    <xf numFmtId="0" fontId="19" fillId="0" borderId="22" xfId="0" applyFont="1" applyBorder="1" applyAlignment="1">
      <alignment horizontal="center" vertical="center"/>
    </xf>
    <xf numFmtId="0" fontId="19" fillId="0" borderId="23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80" xfId="0" applyFont="1" applyBorder="1" applyAlignment="1">
      <alignment horizontal="center" vertical="center"/>
    </xf>
    <xf numFmtId="0" fontId="19" fillId="0" borderId="84" xfId="0" applyFont="1" applyBorder="1" applyAlignment="1">
      <alignment horizontal="center" vertical="center"/>
    </xf>
    <xf numFmtId="0" fontId="22" fillId="2" borderId="46" xfId="0" applyFont="1" applyFill="1" applyBorder="1" applyAlignment="1">
      <alignment vertical="center"/>
    </xf>
    <xf numFmtId="0" fontId="22" fillId="2" borderId="46" xfId="0" applyFont="1" applyFill="1" applyBorder="1" applyAlignment="1">
      <alignment horizontal="center" vertical="center" wrapText="1"/>
    </xf>
    <xf numFmtId="165" fontId="22" fillId="2" borderId="63" xfId="0" applyNumberFormat="1" applyFont="1" applyFill="1" applyBorder="1" applyAlignment="1">
      <alignment vertical="center" wrapText="1"/>
    </xf>
    <xf numFmtId="0" fontId="19" fillId="0" borderId="0" xfId="0" applyFont="1" applyAlignment="1">
      <alignment horizontal="left" vertical="top"/>
    </xf>
    <xf numFmtId="0" fontId="19" fillId="0" borderId="5" xfId="0" applyFont="1" applyBorder="1" applyAlignment="1">
      <alignment horizontal="left" vertical="top"/>
    </xf>
    <xf numFmtId="165" fontId="19" fillId="0" borderId="0" xfId="0" applyNumberFormat="1" applyFont="1"/>
    <xf numFmtId="0" fontId="19" fillId="0" borderId="12" xfId="0" applyFont="1" applyBorder="1"/>
    <xf numFmtId="165" fontId="19" fillId="0" borderId="12" xfId="0" applyNumberFormat="1" applyFont="1" applyBorder="1"/>
    <xf numFmtId="164" fontId="19" fillId="0" borderId="12" xfId="0" applyNumberFormat="1" applyFont="1" applyBorder="1"/>
    <xf numFmtId="168" fontId="19" fillId="0" borderId="12" xfId="0" applyNumberFormat="1" applyFont="1" applyBorder="1"/>
    <xf numFmtId="0" fontId="23" fillId="0" borderId="0" xfId="0" applyFont="1" applyAlignment="1">
      <alignment vertical="center"/>
    </xf>
    <xf numFmtId="1" fontId="19" fillId="0" borderId="0" xfId="0" applyNumberFormat="1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166" fontId="19" fillId="0" borderId="0" xfId="0" applyNumberFormat="1" applyFont="1" applyAlignment="1">
      <alignment horizontal="left" vertical="center"/>
    </xf>
    <xf numFmtId="0" fontId="20" fillId="0" borderId="11" xfId="0" applyFont="1" applyBorder="1" applyAlignment="1">
      <alignment vertical="center"/>
    </xf>
    <xf numFmtId="0" fontId="20" fillId="0" borderId="11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 vertical="center" wrapText="1"/>
    </xf>
    <xf numFmtId="165" fontId="20" fillId="0" borderId="12" xfId="1" applyNumberFormat="1" applyFont="1" applyBorder="1" applyAlignment="1">
      <alignment horizontal="center" vertical="center"/>
    </xf>
    <xf numFmtId="165" fontId="20" fillId="0" borderId="18" xfId="1" applyNumberFormat="1" applyFont="1" applyBorder="1" applyAlignment="1">
      <alignment horizontal="center" vertical="center"/>
    </xf>
    <xf numFmtId="0" fontId="19" fillId="0" borderId="5" xfId="0" applyFont="1" applyBorder="1" applyAlignment="1">
      <alignment vertical="center"/>
    </xf>
    <xf numFmtId="9" fontId="19" fillId="0" borderId="12" xfId="2" applyFont="1" applyBorder="1" applyAlignment="1">
      <alignment horizontal="center" vertical="center" wrapText="1"/>
    </xf>
    <xf numFmtId="165" fontId="19" fillId="0" borderId="12" xfId="1" applyNumberFormat="1" applyFont="1" applyBorder="1" applyAlignment="1">
      <alignment horizontal="center" vertical="center"/>
    </xf>
    <xf numFmtId="165" fontId="19" fillId="0" borderId="18" xfId="1" applyNumberFormat="1" applyFont="1" applyBorder="1" applyAlignment="1">
      <alignment horizontal="center" vertical="center"/>
    </xf>
    <xf numFmtId="0" fontId="19" fillId="0" borderId="8" xfId="0" applyFont="1" applyBorder="1" applyAlignment="1">
      <alignment vertical="center"/>
    </xf>
    <xf numFmtId="0" fontId="19" fillId="0" borderId="7" xfId="0" applyFont="1" applyBorder="1" applyAlignment="1">
      <alignment vertical="center"/>
    </xf>
    <xf numFmtId="165" fontId="19" fillId="0" borderId="12" xfId="0" applyNumberFormat="1" applyFont="1" applyBorder="1" applyAlignment="1">
      <alignment horizontal="center" vertical="center"/>
    </xf>
    <xf numFmtId="0" fontId="19" fillId="0" borderId="14" xfId="0" applyFont="1" applyBorder="1" applyAlignment="1">
      <alignment vertical="center" wrapText="1"/>
    </xf>
    <xf numFmtId="165" fontId="19" fillId="0" borderId="14" xfId="0" applyNumberFormat="1" applyFont="1" applyBorder="1" applyAlignment="1">
      <alignment vertical="center"/>
    </xf>
    <xf numFmtId="9" fontId="19" fillId="0" borderId="14" xfId="2" applyFont="1" applyBorder="1" applyAlignment="1">
      <alignment vertical="center"/>
    </xf>
    <xf numFmtId="9" fontId="19" fillId="0" borderId="0" xfId="2" applyFont="1" applyBorder="1" applyAlignment="1">
      <alignment vertical="center"/>
    </xf>
    <xf numFmtId="0" fontId="20" fillId="0" borderId="9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167" fontId="19" fillId="0" borderId="0" xfId="0" applyNumberFormat="1" applyFont="1" applyAlignment="1">
      <alignment vertical="center"/>
    </xf>
    <xf numFmtId="16" fontId="19" fillId="0" borderId="0" xfId="0" applyNumberFormat="1" applyFont="1" applyAlignment="1">
      <alignment vertical="center"/>
    </xf>
    <xf numFmtId="9" fontId="19" fillId="0" borderId="12" xfId="2" applyFont="1" applyBorder="1" applyAlignment="1">
      <alignment vertical="center"/>
    </xf>
    <xf numFmtId="0" fontId="19" fillId="0" borderId="18" xfId="0" applyFont="1" applyBorder="1" applyAlignment="1">
      <alignment vertical="center"/>
    </xf>
    <xf numFmtId="0" fontId="19" fillId="0" borderId="11" xfId="0" applyFont="1" applyBorder="1" applyAlignment="1">
      <alignment vertical="center"/>
    </xf>
    <xf numFmtId="0" fontId="19" fillId="0" borderId="13" xfId="0" applyFont="1" applyBorder="1" applyAlignment="1">
      <alignment vertical="center"/>
    </xf>
    <xf numFmtId="0" fontId="22" fillId="2" borderId="0" xfId="0" applyFont="1" applyFill="1" applyAlignment="1">
      <alignment vertical="center"/>
    </xf>
    <xf numFmtId="0" fontId="19" fillId="2" borderId="0" xfId="0" applyFont="1" applyFill="1" applyAlignment="1">
      <alignment vertical="center"/>
    </xf>
    <xf numFmtId="0" fontId="20" fillId="0" borderId="12" xfId="0" applyFont="1" applyBorder="1" applyAlignment="1">
      <alignment horizontal="center" vertical="center"/>
    </xf>
    <xf numFmtId="0" fontId="19" fillId="0" borderId="12" xfId="0" applyFont="1" applyBorder="1" applyAlignment="1">
      <alignment horizontal="left" vertical="center"/>
    </xf>
    <xf numFmtId="169" fontId="19" fillId="0" borderId="12" xfId="2" applyNumberFormat="1" applyFont="1" applyFill="1" applyBorder="1" applyAlignment="1">
      <alignment horizontal="center" vertical="center" wrapText="1"/>
    </xf>
    <xf numFmtId="165" fontId="19" fillId="0" borderId="12" xfId="1" applyNumberFormat="1" applyFont="1" applyBorder="1" applyAlignment="1">
      <alignment horizontal="left" vertical="center"/>
    </xf>
    <xf numFmtId="165" fontId="19" fillId="0" borderId="18" xfId="1" applyNumberFormat="1" applyFont="1" applyBorder="1" applyAlignment="1">
      <alignment horizontal="left" vertical="center"/>
    </xf>
    <xf numFmtId="169" fontId="19" fillId="0" borderId="12" xfId="2" applyNumberFormat="1" applyFont="1" applyBorder="1" applyAlignment="1">
      <alignment horizontal="center" vertical="center" wrapText="1"/>
    </xf>
    <xf numFmtId="0" fontId="19" fillId="0" borderId="18" xfId="0" applyFont="1" applyBorder="1" applyAlignment="1">
      <alignment horizontal="left" vertical="center"/>
    </xf>
    <xf numFmtId="9" fontId="19" fillId="0" borderId="12" xfId="2" applyFont="1" applyBorder="1" applyAlignment="1">
      <alignment horizontal="left" vertical="center" wrapText="1"/>
    </xf>
    <xf numFmtId="0" fontId="19" fillId="0" borderId="14" xfId="0" applyFont="1" applyBorder="1" applyAlignment="1">
      <alignment horizontal="left" vertical="center"/>
    </xf>
    <xf numFmtId="165" fontId="19" fillId="0" borderId="14" xfId="0" applyNumberFormat="1" applyFont="1" applyBorder="1" applyAlignment="1">
      <alignment horizontal="left" vertical="center"/>
    </xf>
    <xf numFmtId="9" fontId="19" fillId="0" borderId="14" xfId="2" applyFont="1" applyBorder="1" applyAlignment="1">
      <alignment horizontal="center" vertical="center"/>
    </xf>
    <xf numFmtId="0" fontId="19" fillId="0" borderId="23" xfId="0" applyFont="1" applyBorder="1" applyAlignment="1">
      <alignment horizontal="left" vertical="center"/>
    </xf>
    <xf numFmtId="9" fontId="19" fillId="0" borderId="12" xfId="2" applyFont="1" applyFill="1" applyBorder="1" applyAlignment="1">
      <alignment vertical="center"/>
    </xf>
    <xf numFmtId="0" fontId="19" fillId="3" borderId="12" xfId="0" applyFont="1" applyFill="1" applyBorder="1" applyAlignment="1">
      <alignment horizontal="center" vertical="center" wrapText="1"/>
    </xf>
    <xf numFmtId="9" fontId="19" fillId="0" borderId="14" xfId="2" applyFont="1" applyFill="1" applyBorder="1" applyAlignment="1">
      <alignment vertical="center"/>
    </xf>
    <xf numFmtId="9" fontId="19" fillId="0" borderId="0" xfId="2" applyFont="1" applyFill="1" applyBorder="1" applyAlignment="1">
      <alignment vertical="center"/>
    </xf>
    <xf numFmtId="0" fontId="20" fillId="0" borderId="18" xfId="0" applyFont="1" applyBorder="1" applyAlignment="1">
      <alignment vertical="center"/>
    </xf>
    <xf numFmtId="0" fontId="20" fillId="0" borderId="13" xfId="0" applyFont="1" applyBorder="1" applyAlignment="1">
      <alignment vertical="center"/>
    </xf>
    <xf numFmtId="0" fontId="20" fillId="0" borderId="14" xfId="0" applyFont="1" applyBorder="1" applyAlignment="1">
      <alignment vertical="center" wrapText="1"/>
    </xf>
    <xf numFmtId="0" fontId="20" fillId="0" borderId="14" xfId="0" applyFont="1" applyBorder="1" applyAlignment="1">
      <alignment vertical="center"/>
    </xf>
    <xf numFmtId="0" fontId="20" fillId="0" borderId="23" xfId="0" applyFont="1" applyBorder="1" applyAlignment="1">
      <alignment vertical="center"/>
    </xf>
    <xf numFmtId="9" fontId="19" fillId="0" borderId="12" xfId="2" applyFont="1" applyBorder="1" applyAlignment="1">
      <alignment horizontal="center" vertical="center"/>
    </xf>
    <xf numFmtId="0" fontId="19" fillId="2" borderId="12" xfId="0" applyFont="1" applyFill="1" applyBorder="1" applyAlignment="1">
      <alignment horizontal="center" vertical="center"/>
    </xf>
    <xf numFmtId="0" fontId="19" fillId="0" borderId="14" xfId="0" applyFont="1" applyBorder="1" applyAlignment="1">
      <alignment horizontal="center" vertical="center" wrapText="1"/>
    </xf>
    <xf numFmtId="9" fontId="19" fillId="0" borderId="0" xfId="2" applyFont="1" applyBorder="1" applyAlignment="1">
      <alignment horizontal="center" vertical="center"/>
    </xf>
    <xf numFmtId="0" fontId="19" fillId="0" borderId="12" xfId="0" quotePrefix="1" applyFont="1" applyBorder="1" applyAlignment="1">
      <alignment horizontal="center" vertical="center" wrapText="1"/>
    </xf>
    <xf numFmtId="1" fontId="19" fillId="0" borderId="0" xfId="0" applyNumberFormat="1" applyFont="1" applyAlignment="1">
      <alignment vertical="center"/>
    </xf>
    <xf numFmtId="9" fontId="19" fillId="0" borderId="14" xfId="2" applyFont="1" applyFill="1" applyBorder="1" applyAlignment="1">
      <alignment horizontal="center" vertical="center"/>
    </xf>
    <xf numFmtId="165" fontId="19" fillId="0" borderId="14" xfId="1" applyNumberFormat="1" applyFont="1" applyBorder="1" applyAlignment="1">
      <alignment horizontal="center" vertical="center"/>
    </xf>
    <xf numFmtId="49" fontId="19" fillId="0" borderId="12" xfId="0" quotePrefix="1" applyNumberFormat="1" applyFont="1" applyBorder="1" applyAlignment="1">
      <alignment horizontal="center" vertical="center" wrapText="1"/>
    </xf>
    <xf numFmtId="0" fontId="19" fillId="0" borderId="12" xfId="0" applyFont="1" applyBorder="1" applyAlignment="1">
      <alignment horizontal="left" vertical="center" wrapText="1"/>
    </xf>
    <xf numFmtId="0" fontId="20" fillId="0" borderId="9" xfId="0" applyFont="1" applyBorder="1" applyAlignment="1">
      <alignment vertical="center"/>
    </xf>
    <xf numFmtId="9" fontId="19" fillId="0" borderId="12" xfId="2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16" fontId="19" fillId="0" borderId="12" xfId="0" quotePrefix="1" applyNumberFormat="1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/>
    </xf>
    <xf numFmtId="0" fontId="20" fillId="0" borderId="14" xfId="0" applyFont="1" applyBorder="1" applyAlignment="1">
      <alignment horizontal="center" vertical="center" wrapText="1"/>
    </xf>
    <xf numFmtId="165" fontId="20" fillId="0" borderId="14" xfId="1" applyNumberFormat="1" applyFont="1" applyBorder="1" applyAlignment="1">
      <alignment horizontal="center" vertical="center"/>
    </xf>
    <xf numFmtId="165" fontId="20" fillId="0" borderId="23" xfId="1" applyNumberFormat="1" applyFont="1" applyBorder="1" applyAlignment="1">
      <alignment horizontal="center" vertical="center"/>
    </xf>
    <xf numFmtId="0" fontId="19" fillId="0" borderId="10" xfId="0" applyFont="1" applyBorder="1" applyAlignment="1">
      <alignment vertical="center" wrapText="1"/>
    </xf>
    <xf numFmtId="0" fontId="19" fillId="0" borderId="10" xfId="0" applyFont="1" applyBorder="1" applyAlignment="1">
      <alignment vertical="center"/>
    </xf>
    <xf numFmtId="9" fontId="19" fillId="0" borderId="10" xfId="2" applyFont="1" applyBorder="1" applyAlignment="1">
      <alignment horizontal="center" vertical="center" wrapText="1"/>
    </xf>
    <xf numFmtId="165" fontId="19" fillId="0" borderId="10" xfId="1" applyNumberFormat="1" applyFont="1" applyBorder="1" applyAlignment="1">
      <alignment vertical="center"/>
    </xf>
    <xf numFmtId="165" fontId="19" fillId="0" borderId="10" xfId="1" applyNumberFormat="1" applyFont="1" applyBorder="1" applyAlignment="1">
      <alignment horizontal="center" vertical="center"/>
    </xf>
    <xf numFmtId="165" fontId="19" fillId="0" borderId="24" xfId="1" applyNumberFormat="1" applyFont="1" applyBorder="1" applyAlignment="1">
      <alignment horizontal="center" vertical="center"/>
    </xf>
    <xf numFmtId="165" fontId="19" fillId="0" borderId="12" xfId="1" applyNumberFormat="1" applyFont="1" applyBorder="1" applyAlignment="1">
      <alignment vertical="center"/>
    </xf>
    <xf numFmtId="9" fontId="19" fillId="0" borderId="41" xfId="2" applyFont="1" applyBorder="1" applyAlignment="1">
      <alignment vertical="center" wrapText="1"/>
    </xf>
    <xf numFmtId="165" fontId="19" fillId="0" borderId="41" xfId="0" applyNumberFormat="1" applyFont="1" applyBorder="1" applyAlignment="1">
      <alignment vertical="center"/>
    </xf>
    <xf numFmtId="165" fontId="19" fillId="0" borderId="41" xfId="1" applyNumberFormat="1" applyFont="1" applyBorder="1" applyAlignment="1">
      <alignment horizontal="center" vertical="center"/>
    </xf>
    <xf numFmtId="165" fontId="19" fillId="0" borderId="53" xfId="1" applyNumberFormat="1" applyFont="1" applyBorder="1" applyAlignment="1">
      <alignment horizontal="center" vertical="center"/>
    </xf>
    <xf numFmtId="0" fontId="21" fillId="0" borderId="18" xfId="0" applyFont="1" applyBorder="1" applyAlignment="1">
      <alignment vertical="center" wrapText="1"/>
    </xf>
    <xf numFmtId="0" fontId="21" fillId="0" borderId="14" xfId="0" applyFont="1" applyBorder="1" applyAlignment="1">
      <alignment vertical="center" wrapText="1"/>
    </xf>
    <xf numFmtId="0" fontId="21" fillId="0" borderId="23" xfId="0" applyFont="1" applyBorder="1" applyAlignment="1">
      <alignment vertical="center" wrapText="1"/>
    </xf>
    <xf numFmtId="0" fontId="20" fillId="0" borderId="0" xfId="0" applyFont="1" applyAlignment="1">
      <alignment horizontal="center" vertical="center" wrapText="1"/>
    </xf>
    <xf numFmtId="9" fontId="19" fillId="0" borderId="0" xfId="2" applyFont="1" applyBorder="1" applyAlignment="1">
      <alignment horizontal="center" vertical="center" wrapText="1"/>
    </xf>
    <xf numFmtId="165" fontId="19" fillId="0" borderId="0" xfId="0" applyNumberFormat="1" applyFont="1" applyAlignment="1">
      <alignment horizontal="center" vertical="center"/>
    </xf>
    <xf numFmtId="165" fontId="19" fillId="0" borderId="0" xfId="1" applyNumberFormat="1" applyFont="1" applyBorder="1" applyAlignment="1">
      <alignment horizontal="center" vertical="center"/>
    </xf>
    <xf numFmtId="0" fontId="19" fillId="0" borderId="38" xfId="0" applyFont="1" applyBorder="1" applyAlignment="1">
      <alignment vertical="center"/>
    </xf>
    <xf numFmtId="0" fontId="19" fillId="0" borderId="39" xfId="0" applyFont="1" applyBorder="1" applyAlignment="1">
      <alignment vertical="center"/>
    </xf>
    <xf numFmtId="0" fontId="19" fillId="0" borderId="40" xfId="0" applyFont="1" applyBorder="1" applyAlignment="1">
      <alignment vertical="center"/>
    </xf>
    <xf numFmtId="0" fontId="19" fillId="0" borderId="0" xfId="0" applyFont="1" applyAlignment="1">
      <alignment vertical="top" wrapText="1"/>
    </xf>
    <xf numFmtId="165" fontId="20" fillId="0" borderId="0" xfId="1" applyNumberFormat="1" applyFont="1" applyBorder="1" applyAlignment="1">
      <alignment horizontal="center" vertical="center"/>
    </xf>
    <xf numFmtId="9" fontId="19" fillId="0" borderId="0" xfId="2" applyFont="1" applyFill="1" applyBorder="1" applyAlignment="1">
      <alignment horizontal="center" vertical="center"/>
    </xf>
    <xf numFmtId="0" fontId="19" fillId="3" borderId="0" xfId="0" applyFont="1" applyFill="1" applyAlignment="1">
      <alignment horizontal="center" vertical="center" wrapText="1"/>
    </xf>
    <xf numFmtId="49" fontId="19" fillId="0" borderId="0" xfId="0" applyNumberFormat="1" applyFont="1" applyAlignment="1">
      <alignment horizontal="center" vertical="center" wrapText="1"/>
    </xf>
    <xf numFmtId="0" fontId="19" fillId="2" borderId="0" xfId="0" applyFont="1" applyFill="1" applyAlignment="1">
      <alignment horizontal="center" vertical="center"/>
    </xf>
    <xf numFmtId="16" fontId="19" fillId="0" borderId="0" xfId="0" applyNumberFormat="1" applyFont="1" applyAlignment="1">
      <alignment horizontal="center" vertical="center" wrapText="1"/>
    </xf>
    <xf numFmtId="0" fontId="19" fillId="0" borderId="10" xfId="0" applyFont="1" applyBorder="1" applyAlignment="1">
      <alignment horizontal="left" vertical="center"/>
    </xf>
    <xf numFmtId="165" fontId="19" fillId="0" borderId="51" xfId="0" applyNumberFormat="1" applyFont="1" applyBorder="1" applyAlignment="1">
      <alignment horizontal="center" vertical="center"/>
    </xf>
    <xf numFmtId="0" fontId="19" fillId="0" borderId="18" xfId="0" applyFont="1" applyBorder="1" applyAlignment="1">
      <alignment horizontal="right" vertical="center"/>
    </xf>
    <xf numFmtId="0" fontId="19" fillId="0" borderId="41" xfId="0" applyFont="1" applyBorder="1" applyAlignment="1">
      <alignment horizontal="left" vertical="center"/>
    </xf>
    <xf numFmtId="165" fontId="19" fillId="0" borderId="18" xfId="0" applyNumberFormat="1" applyFont="1" applyBorder="1" applyAlignment="1">
      <alignment horizontal="left" vertical="center"/>
    </xf>
    <xf numFmtId="0" fontId="19" fillId="0" borderId="43" xfId="0" applyFont="1" applyBorder="1" applyAlignment="1">
      <alignment horizontal="left" vertical="center"/>
    </xf>
    <xf numFmtId="0" fontId="19" fillId="0" borderId="41" xfId="0" applyFont="1" applyBorder="1" applyAlignment="1">
      <alignment horizontal="center" vertical="center" wrapText="1"/>
    </xf>
    <xf numFmtId="165" fontId="19" fillId="0" borderId="53" xfId="0" applyNumberFormat="1" applyFont="1" applyBorder="1" applyAlignment="1">
      <alignment horizontal="right" vertical="center"/>
    </xf>
    <xf numFmtId="0" fontId="19" fillId="0" borderId="14" xfId="0" applyFont="1" applyBorder="1" applyAlignment="1">
      <alignment horizontal="left" vertical="center" wrapText="1"/>
    </xf>
    <xf numFmtId="165" fontId="19" fillId="0" borderId="23" xfId="0" applyNumberFormat="1" applyFont="1" applyBorder="1" applyAlignment="1">
      <alignment horizontal="right" vertical="center"/>
    </xf>
    <xf numFmtId="0" fontId="19" fillId="0" borderId="43" xfId="0" applyFont="1" applyBorder="1" applyAlignment="1">
      <alignment horizontal="center" vertical="center" wrapText="1"/>
    </xf>
    <xf numFmtId="165" fontId="19" fillId="0" borderId="44" xfId="1" applyNumberFormat="1" applyFont="1" applyBorder="1" applyAlignment="1">
      <alignment horizontal="center" vertical="center" wrapText="1"/>
    </xf>
    <xf numFmtId="165" fontId="26" fillId="0" borderId="19" xfId="1" applyNumberFormat="1" applyFont="1" applyBorder="1" applyAlignment="1">
      <alignment horizontal="center" vertical="center" wrapText="1"/>
    </xf>
    <xf numFmtId="165" fontId="19" fillId="0" borderId="19" xfId="1" applyNumberFormat="1" applyFont="1" applyBorder="1" applyAlignment="1">
      <alignment horizontal="center" vertical="center" wrapText="1"/>
    </xf>
    <xf numFmtId="0" fontId="19" fillId="0" borderId="60" xfId="0" applyFont="1" applyBorder="1" applyAlignment="1">
      <alignment horizontal="left" vertical="center"/>
    </xf>
    <xf numFmtId="165" fontId="19" fillId="0" borderId="42" xfId="1" applyNumberFormat="1" applyFont="1" applyBorder="1" applyAlignment="1">
      <alignment horizontal="center" vertical="center" wrapText="1"/>
    </xf>
    <xf numFmtId="165" fontId="19" fillId="0" borderId="25" xfId="0" applyNumberFormat="1" applyFont="1" applyBorder="1" applyAlignment="1">
      <alignment horizontal="left" vertical="center"/>
    </xf>
    <xf numFmtId="165" fontId="19" fillId="0" borderId="19" xfId="0" applyNumberFormat="1" applyFont="1" applyBorder="1" applyAlignment="1">
      <alignment horizontal="left" vertical="center"/>
    </xf>
    <xf numFmtId="165" fontId="19" fillId="0" borderId="21" xfId="0" applyNumberFormat="1" applyFont="1" applyBorder="1" applyAlignment="1">
      <alignment horizontal="left" vertical="center" wrapText="1"/>
    </xf>
    <xf numFmtId="0" fontId="19" fillId="2" borderId="10" xfId="0" applyFont="1" applyFill="1" applyBorder="1" applyAlignment="1">
      <alignment horizontal="left" vertical="center"/>
    </xf>
    <xf numFmtId="0" fontId="19" fillId="0" borderId="0" xfId="0" applyFont="1" applyAlignment="1">
      <alignment horizontal="right" vertical="center"/>
    </xf>
    <xf numFmtId="1" fontId="19" fillId="0" borderId="18" xfId="0" applyNumberFormat="1" applyFont="1" applyBorder="1" applyAlignment="1">
      <alignment horizontal="right" vertical="center"/>
    </xf>
    <xf numFmtId="171" fontId="19" fillId="0" borderId="12" xfId="1" applyNumberFormat="1" applyFont="1" applyFill="1" applyBorder="1" applyAlignment="1">
      <alignment horizontal="center" vertical="center" wrapText="1"/>
    </xf>
    <xf numFmtId="0" fontId="19" fillId="2" borderId="12" xfId="0" applyFont="1" applyFill="1" applyBorder="1" applyAlignment="1">
      <alignment vertical="center" wrapText="1"/>
    </xf>
    <xf numFmtId="171" fontId="19" fillId="0" borderId="12" xfId="1" applyNumberFormat="1" applyFont="1" applyBorder="1" applyAlignment="1">
      <alignment vertical="center" wrapText="1"/>
    </xf>
    <xf numFmtId="1" fontId="19" fillId="0" borderId="18" xfId="0" applyNumberFormat="1" applyFont="1" applyBorder="1" applyAlignment="1">
      <alignment vertical="center"/>
    </xf>
    <xf numFmtId="165" fontId="19" fillId="0" borderId="18" xfId="1" applyNumberFormat="1" applyFont="1" applyBorder="1" applyAlignment="1">
      <alignment vertical="center"/>
    </xf>
    <xf numFmtId="0" fontId="19" fillId="2" borderId="14" xfId="0" applyFont="1" applyFill="1" applyBorder="1" applyAlignment="1">
      <alignment horizontal="left" vertical="center" wrapText="1"/>
    </xf>
    <xf numFmtId="171" fontId="19" fillId="0" borderId="14" xfId="1" applyNumberFormat="1" applyFont="1" applyBorder="1" applyAlignment="1">
      <alignment horizontal="center" vertical="center" wrapText="1"/>
    </xf>
    <xf numFmtId="1" fontId="19" fillId="0" borderId="23" xfId="0" applyNumberFormat="1" applyFont="1" applyBorder="1" applyAlignment="1">
      <alignment horizontal="right" vertical="center"/>
    </xf>
    <xf numFmtId="165" fontId="19" fillId="0" borderId="24" xfId="0" applyNumberFormat="1" applyFont="1" applyBorder="1" applyAlignment="1">
      <alignment horizontal="right" vertical="center"/>
    </xf>
    <xf numFmtId="0" fontId="21" fillId="0" borderId="43" xfId="0" applyFont="1" applyBorder="1" applyAlignment="1">
      <alignment vertical="center" wrapText="1"/>
    </xf>
    <xf numFmtId="0" fontId="21" fillId="0" borderId="54" xfId="0" applyFont="1" applyBorder="1" applyAlignment="1">
      <alignment vertical="center" wrapText="1"/>
    </xf>
    <xf numFmtId="165" fontId="19" fillId="0" borderId="0" xfId="0" applyNumberFormat="1" applyFont="1" applyAlignment="1">
      <alignment horizontal="left" vertical="center"/>
    </xf>
    <xf numFmtId="0" fontId="19" fillId="0" borderId="12" xfId="0" applyFont="1" applyBorder="1" applyAlignment="1">
      <alignment horizontal="left" vertical="center"/>
    </xf>
    <xf numFmtId="0" fontId="27" fillId="0" borderId="0" xfId="0" applyFont="1" applyAlignment="1">
      <alignment vertical="center"/>
    </xf>
    <xf numFmtId="166" fontId="28" fillId="0" borderId="0" xfId="0" applyNumberFormat="1" applyFont="1" applyAlignment="1">
      <alignment horizontal="left" vertical="center"/>
    </xf>
    <xf numFmtId="0" fontId="28" fillId="0" borderId="0" xfId="0" applyFont="1" applyAlignment="1">
      <alignment vertical="center"/>
    </xf>
    <xf numFmtId="165" fontId="19" fillId="0" borderId="12" xfId="1" applyNumberFormat="1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 wrapText="1"/>
    </xf>
    <xf numFmtId="0" fontId="21" fillId="0" borderId="10" xfId="0" applyFont="1" applyBorder="1" applyAlignment="1">
      <alignment vertical="center" wrapText="1"/>
    </xf>
    <xf numFmtId="0" fontId="21" fillId="4" borderId="12" xfId="0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 wrapText="1"/>
    </xf>
    <xf numFmtId="0" fontId="21" fillId="0" borderId="24" xfId="0" applyFont="1" applyBorder="1" applyAlignment="1">
      <alignment vertical="center" wrapText="1"/>
    </xf>
    <xf numFmtId="0" fontId="21" fillId="4" borderId="10" xfId="0" applyFont="1" applyFill="1" applyBorder="1" applyAlignment="1">
      <alignment horizontal="center" vertical="center"/>
    </xf>
    <xf numFmtId="0" fontId="19" fillId="0" borderId="16" xfId="0" applyFont="1" applyBorder="1" applyAlignment="1">
      <alignment horizontal="left" vertical="center" wrapText="1"/>
    </xf>
    <xf numFmtId="0" fontId="19" fillId="0" borderId="43" xfId="0" applyFont="1" applyBorder="1" applyAlignment="1">
      <alignment horizontal="left" vertical="center" wrapText="1"/>
    </xf>
    <xf numFmtId="0" fontId="19" fillId="0" borderId="12" xfId="0" applyFont="1" applyBorder="1" applyAlignment="1">
      <alignment horizontal="left" vertical="center"/>
    </xf>
    <xf numFmtId="0" fontId="21" fillId="0" borderId="43" xfId="0" applyFont="1" applyBorder="1" applyAlignment="1">
      <alignment horizontal="center" vertical="center" wrapText="1"/>
    </xf>
    <xf numFmtId="0" fontId="21" fillId="4" borderId="43" xfId="0" applyFont="1" applyFill="1" applyBorder="1" applyAlignment="1">
      <alignment horizontal="left" vertical="center"/>
    </xf>
    <xf numFmtId="0" fontId="19" fillId="0" borderId="0" xfId="0" applyFont="1"/>
    <xf numFmtId="0" fontId="19" fillId="0" borderId="12" xfId="0" applyFont="1" applyBorder="1" applyAlignment="1">
      <alignment horizontal="left" vertical="center"/>
    </xf>
    <xf numFmtId="0" fontId="19" fillId="0" borderId="9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24" xfId="0" applyFont="1" applyBorder="1" applyAlignment="1">
      <alignment horizontal="left" vertical="center" wrapText="1"/>
    </xf>
    <xf numFmtId="0" fontId="19" fillId="0" borderId="11" xfId="0" applyFont="1" applyBorder="1" applyAlignment="1">
      <alignment horizontal="left" vertical="center" wrapText="1"/>
    </xf>
    <xf numFmtId="0" fontId="19" fillId="0" borderId="12" xfId="0" applyFont="1" applyBorder="1" applyAlignment="1">
      <alignment horizontal="left" vertical="center" wrapText="1"/>
    </xf>
    <xf numFmtId="0" fontId="19" fillId="0" borderId="18" xfId="0" applyFont="1" applyBorder="1" applyAlignment="1">
      <alignment horizontal="left" vertical="center" wrapText="1"/>
    </xf>
    <xf numFmtId="0" fontId="19" fillId="0" borderId="13" xfId="0" applyFont="1" applyBorder="1" applyAlignment="1">
      <alignment horizontal="left" vertical="center" wrapText="1"/>
    </xf>
    <xf numFmtId="0" fontId="19" fillId="0" borderId="14" xfId="0" applyFont="1" applyBorder="1" applyAlignment="1">
      <alignment horizontal="left" vertical="center" wrapText="1"/>
    </xf>
    <xf numFmtId="0" fontId="19" fillId="0" borderId="23" xfId="0" applyFont="1" applyBorder="1" applyAlignment="1">
      <alignment horizontal="left" vertical="center" wrapText="1"/>
    </xf>
    <xf numFmtId="0" fontId="19" fillId="0" borderId="0" xfId="0" applyFont="1" applyAlignment="1">
      <alignment horizontal="left" vertical="center"/>
    </xf>
    <xf numFmtId="0" fontId="19" fillId="0" borderId="0" xfId="0" applyFont="1" applyAlignment="1">
      <alignment horizontal="center" vertical="center" wrapText="1"/>
    </xf>
    <xf numFmtId="0" fontId="19" fillId="0" borderId="67" xfId="0" applyFont="1" applyBorder="1" applyAlignment="1">
      <alignment horizontal="left" vertical="center" wrapText="1"/>
    </xf>
    <xf numFmtId="0" fontId="19" fillId="0" borderId="64" xfId="0" applyFont="1" applyBorder="1" applyAlignment="1">
      <alignment horizontal="left" vertical="center" wrapText="1"/>
    </xf>
    <xf numFmtId="0" fontId="19" fillId="0" borderId="25" xfId="0" applyFont="1" applyBorder="1" applyAlignment="1">
      <alignment horizontal="left" vertical="center" wrapText="1"/>
    </xf>
    <xf numFmtId="0" fontId="19" fillId="0" borderId="26" xfId="0" applyFont="1" applyBorder="1" applyAlignment="1">
      <alignment horizontal="left" vertical="center" wrapText="1"/>
    </xf>
    <xf numFmtId="0" fontId="19" fillId="0" borderId="27" xfId="0" applyFont="1" applyBorder="1" applyAlignment="1">
      <alignment horizontal="left" vertical="center" wrapText="1"/>
    </xf>
    <xf numFmtId="0" fontId="19" fillId="0" borderId="9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24" xfId="0" applyFont="1" applyBorder="1" applyAlignment="1">
      <alignment horizontal="center" vertical="center"/>
    </xf>
    <xf numFmtId="0" fontId="20" fillId="0" borderId="9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0" fontId="20" fillId="0" borderId="9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19" fillId="0" borderId="68" xfId="0" applyFont="1" applyBorder="1" applyAlignment="1">
      <alignment horizontal="left" vertical="center" wrapText="1"/>
    </xf>
    <xf numFmtId="0" fontId="19" fillId="0" borderId="20" xfId="0" applyFont="1" applyBorder="1" applyAlignment="1">
      <alignment horizontal="left" vertical="center" wrapText="1"/>
    </xf>
    <xf numFmtId="0" fontId="21" fillId="4" borderId="19" xfId="0" applyFont="1" applyFill="1" applyBorder="1" applyAlignment="1">
      <alignment horizontal="left" vertical="center" wrapText="1"/>
    </xf>
    <xf numFmtId="0" fontId="21" fillId="4" borderId="28" xfId="0" applyFont="1" applyFill="1" applyBorder="1" applyAlignment="1">
      <alignment horizontal="left" vertical="center" wrapText="1"/>
    </xf>
    <xf numFmtId="0" fontId="21" fillId="4" borderId="29" xfId="0" applyFont="1" applyFill="1" applyBorder="1" applyAlignment="1">
      <alignment horizontal="left" vertical="center" wrapText="1"/>
    </xf>
    <xf numFmtId="0" fontId="19" fillId="0" borderId="11" xfId="0" applyFont="1" applyBorder="1" applyAlignment="1">
      <alignment horizontal="left" vertical="top"/>
    </xf>
    <xf numFmtId="0" fontId="19" fillId="0" borderId="12" xfId="0" applyFont="1" applyBorder="1" applyAlignment="1">
      <alignment horizontal="left" vertical="top"/>
    </xf>
    <xf numFmtId="165" fontId="19" fillId="0" borderId="12" xfId="1" applyNumberFormat="1" applyFont="1" applyBorder="1" applyAlignment="1">
      <alignment horizontal="center" vertical="top"/>
    </xf>
    <xf numFmtId="165" fontId="19" fillId="0" borderId="19" xfId="1" applyNumberFormat="1" applyFont="1" applyBorder="1" applyAlignment="1">
      <alignment horizontal="center" vertical="top"/>
    </xf>
    <xf numFmtId="165" fontId="19" fillId="0" borderId="29" xfId="1" applyNumberFormat="1" applyFont="1" applyBorder="1" applyAlignment="1">
      <alignment horizontal="center" vertical="top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164" fontId="19" fillId="0" borderId="19" xfId="1" applyFont="1" applyBorder="1" applyAlignment="1">
      <alignment horizontal="center" vertical="top"/>
    </xf>
    <xf numFmtId="164" fontId="19" fillId="0" borderId="29" xfId="1" applyFont="1" applyBorder="1" applyAlignment="1">
      <alignment horizontal="center" vertical="top"/>
    </xf>
    <xf numFmtId="0" fontId="19" fillId="0" borderId="19" xfId="0" applyFont="1" applyBorder="1" applyAlignment="1">
      <alignment horizontal="left" vertical="center" wrapText="1"/>
    </xf>
    <xf numFmtId="0" fontId="19" fillId="0" borderId="28" xfId="0" applyFont="1" applyBorder="1" applyAlignment="1">
      <alignment horizontal="left" vertical="center" wrapText="1"/>
    </xf>
    <xf numFmtId="0" fontId="19" fillId="0" borderId="29" xfId="0" applyFont="1" applyBorder="1" applyAlignment="1">
      <alignment horizontal="left" vertical="center" wrapText="1"/>
    </xf>
    <xf numFmtId="164" fontId="19" fillId="0" borderId="19" xfId="1" applyFont="1" applyBorder="1" applyAlignment="1">
      <alignment horizontal="center" vertical="center"/>
    </xf>
    <xf numFmtId="164" fontId="19" fillId="0" borderId="29" xfId="1" applyFont="1" applyBorder="1" applyAlignment="1">
      <alignment horizontal="center" vertical="center"/>
    </xf>
    <xf numFmtId="0" fontId="19" fillId="0" borderId="80" xfId="0" applyFont="1" applyBorder="1" applyAlignment="1">
      <alignment horizontal="left" vertical="center" wrapText="1"/>
    </xf>
    <xf numFmtId="0" fontId="19" fillId="0" borderId="22" xfId="0" applyFont="1" applyBorder="1" applyAlignment="1">
      <alignment horizontal="left" vertical="center" wrapText="1"/>
    </xf>
    <xf numFmtId="0" fontId="19" fillId="0" borderId="21" xfId="0" applyFont="1" applyBorder="1" applyAlignment="1">
      <alignment horizontal="left" vertical="center" wrapText="1"/>
    </xf>
    <xf numFmtId="0" fontId="19" fillId="0" borderId="30" xfId="0" applyFont="1" applyBorder="1" applyAlignment="1">
      <alignment horizontal="left" vertical="center" wrapText="1"/>
    </xf>
    <xf numFmtId="0" fontId="19" fillId="0" borderId="31" xfId="0" applyFont="1" applyBorder="1" applyAlignment="1">
      <alignment horizontal="left" vertical="center" wrapText="1"/>
    </xf>
    <xf numFmtId="0" fontId="19" fillId="0" borderId="68" xfId="0" applyFont="1" applyBorder="1" applyAlignment="1">
      <alignment horizontal="left" vertical="top"/>
    </xf>
    <xf numFmtId="0" fontId="19" fillId="0" borderId="20" xfId="0" applyFont="1" applyBorder="1" applyAlignment="1">
      <alignment horizontal="left" vertical="top"/>
    </xf>
    <xf numFmtId="165" fontId="19" fillId="0" borderId="20" xfId="1" applyNumberFormat="1" applyFont="1" applyBorder="1" applyAlignment="1">
      <alignment horizontal="center" vertical="top"/>
    </xf>
    <xf numFmtId="0" fontId="19" fillId="0" borderId="13" xfId="0" applyFont="1" applyBorder="1" applyAlignment="1">
      <alignment horizontal="left" vertical="top"/>
    </xf>
    <xf numFmtId="0" fontId="19" fillId="0" borderId="14" xfId="0" applyFont="1" applyBorder="1" applyAlignment="1">
      <alignment horizontal="left" vertical="top"/>
    </xf>
    <xf numFmtId="165" fontId="19" fillId="0" borderId="14" xfId="1" applyNumberFormat="1" applyFont="1" applyBorder="1" applyAlignment="1">
      <alignment horizontal="center" vertical="top"/>
    </xf>
    <xf numFmtId="168" fontId="19" fillId="0" borderId="21" xfId="1" applyNumberFormat="1" applyFont="1" applyBorder="1" applyAlignment="1">
      <alignment horizontal="center" vertical="top"/>
    </xf>
    <xf numFmtId="168" fontId="19" fillId="0" borderId="31" xfId="1" applyNumberFormat="1" applyFont="1" applyBorder="1" applyAlignment="1">
      <alignment horizontal="center" vertical="top"/>
    </xf>
    <xf numFmtId="0" fontId="20" fillId="0" borderId="25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64" xfId="0" applyFont="1" applyBorder="1" applyAlignment="1">
      <alignment horizontal="center" vertical="center"/>
    </xf>
    <xf numFmtId="0" fontId="22" fillId="0" borderId="52" xfId="0" applyFont="1" applyBorder="1" applyAlignment="1">
      <alignment horizontal="left" vertical="center"/>
    </xf>
    <xf numFmtId="0" fontId="22" fillId="0" borderId="46" xfId="0" applyFont="1" applyBorder="1" applyAlignment="1">
      <alignment horizontal="left" vertical="center"/>
    </xf>
    <xf numFmtId="0" fontId="20" fillId="0" borderId="16" xfId="0" applyFont="1" applyBorder="1" applyAlignment="1">
      <alignment horizontal="center" vertical="center" wrapText="1"/>
    </xf>
    <xf numFmtId="0" fontId="20" fillId="0" borderId="46" xfId="0" applyFont="1" applyBorder="1" applyAlignment="1">
      <alignment horizontal="center" vertical="center" wrapText="1"/>
    </xf>
    <xf numFmtId="165" fontId="19" fillId="0" borderId="0" xfId="1" applyNumberFormat="1" applyFont="1" applyBorder="1" applyAlignment="1">
      <alignment horizontal="center" vertical="top"/>
    </xf>
    <xf numFmtId="164" fontId="19" fillId="0" borderId="0" xfId="1" applyFont="1" applyBorder="1" applyAlignment="1">
      <alignment horizontal="center" vertical="top"/>
    </xf>
    <xf numFmtId="0" fontId="19" fillId="0" borderId="0" xfId="0" applyFont="1" applyAlignment="1">
      <alignment horizontal="left" vertical="top"/>
    </xf>
    <xf numFmtId="0" fontId="19" fillId="0" borderId="0" xfId="0" applyFont="1" applyAlignment="1">
      <alignment horizontal="center" vertical="center"/>
    </xf>
    <xf numFmtId="168" fontId="19" fillId="0" borderId="0" xfId="1" applyNumberFormat="1" applyFont="1" applyBorder="1" applyAlignment="1">
      <alignment horizontal="center" vertical="top"/>
    </xf>
    <xf numFmtId="0" fontId="20" fillId="0" borderId="49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/>
    </xf>
    <xf numFmtId="0" fontId="20" fillId="0" borderId="41" xfId="0" applyFont="1" applyBorder="1" applyAlignment="1">
      <alignment horizontal="center" vertical="center" wrapText="1"/>
    </xf>
    <xf numFmtId="0" fontId="19" fillId="2" borderId="16" xfId="0" applyFont="1" applyFill="1" applyBorder="1" applyAlignment="1">
      <alignment horizontal="left" vertical="center" wrapText="1"/>
    </xf>
    <xf numFmtId="0" fontId="19" fillId="2" borderId="43" xfId="0" applyFont="1" applyFill="1" applyBorder="1" applyAlignment="1">
      <alignment horizontal="left" vertical="center" wrapText="1"/>
    </xf>
    <xf numFmtId="0" fontId="19" fillId="0" borderId="16" xfId="0" applyFont="1" applyBorder="1" applyAlignment="1">
      <alignment horizontal="left" vertical="center" wrapText="1"/>
    </xf>
    <xf numFmtId="0" fontId="19" fillId="0" borderId="43" xfId="0" applyFont="1" applyBorder="1" applyAlignment="1">
      <alignment horizontal="left" vertical="center" wrapText="1"/>
    </xf>
    <xf numFmtId="0" fontId="19" fillId="0" borderId="4" xfId="0" applyFont="1" applyBorder="1" applyAlignment="1">
      <alignment horizontal="left" vertical="center"/>
    </xf>
    <xf numFmtId="0" fontId="19" fillId="0" borderId="3" xfId="0" applyFont="1" applyBorder="1" applyAlignment="1">
      <alignment horizontal="left" vertical="center"/>
    </xf>
    <xf numFmtId="0" fontId="19" fillId="0" borderId="2" xfId="0" applyFont="1" applyBorder="1" applyAlignment="1">
      <alignment horizontal="left" vertical="center"/>
    </xf>
    <xf numFmtId="0" fontId="19" fillId="0" borderId="6" xfId="0" applyFont="1" applyBorder="1" applyAlignment="1">
      <alignment horizontal="left" vertical="center"/>
    </xf>
    <xf numFmtId="0" fontId="19" fillId="0" borderId="8" xfId="0" applyFont="1" applyBorder="1" applyAlignment="1">
      <alignment horizontal="left" vertical="center"/>
    </xf>
    <xf numFmtId="0" fontId="19" fillId="0" borderId="7" xfId="0" applyFont="1" applyBorder="1" applyAlignment="1">
      <alignment horizontal="left" vertical="center"/>
    </xf>
    <xf numFmtId="0" fontId="20" fillId="0" borderId="21" xfId="0" applyFont="1" applyBorder="1" applyAlignment="1">
      <alignment horizontal="center" vertical="center"/>
    </xf>
    <xf numFmtId="0" fontId="19" fillId="0" borderId="41" xfId="0" applyFont="1" applyBorder="1" applyAlignment="1">
      <alignment horizontal="center" vertical="center"/>
    </xf>
    <xf numFmtId="0" fontId="19" fillId="0" borderId="43" xfId="0" applyFont="1" applyBorder="1" applyAlignment="1">
      <alignment horizontal="center" vertical="center"/>
    </xf>
    <xf numFmtId="0" fontId="20" fillId="0" borderId="85" xfId="0" applyFont="1" applyBorder="1" applyAlignment="1">
      <alignment horizontal="center" vertical="center" wrapText="1"/>
    </xf>
    <xf numFmtId="0" fontId="20" fillId="0" borderId="86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/>
    </xf>
    <xf numFmtId="0" fontId="19" fillId="0" borderId="64" xfId="0" applyFont="1" applyBorder="1" applyAlignment="1">
      <alignment horizontal="left" vertical="top" wrapText="1"/>
    </xf>
    <xf numFmtId="0" fontId="19" fillId="0" borderId="45" xfId="0" applyFont="1" applyBorder="1" applyAlignment="1">
      <alignment horizontal="left" vertical="top" wrapText="1"/>
    </xf>
    <xf numFmtId="0" fontId="19" fillId="0" borderId="33" xfId="0" applyFont="1" applyBorder="1" applyAlignment="1">
      <alignment horizontal="left" vertical="top"/>
    </xf>
    <xf numFmtId="0" fontId="19" fillId="0" borderId="22" xfId="0" applyFont="1" applyBorder="1" applyAlignment="1">
      <alignment horizontal="left" vertical="top"/>
    </xf>
    <xf numFmtId="0" fontId="19" fillId="0" borderId="53" xfId="0" applyFont="1" applyBorder="1" applyAlignment="1">
      <alignment horizontal="center" vertical="center"/>
    </xf>
    <xf numFmtId="0" fontId="19" fillId="0" borderId="54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19" fillId="0" borderId="24" xfId="0" applyFont="1" applyBorder="1" applyAlignment="1">
      <alignment horizontal="left" vertical="top" wrapText="1"/>
    </xf>
    <xf numFmtId="0" fontId="19" fillId="0" borderId="54" xfId="0" applyFont="1" applyBorder="1" applyAlignment="1">
      <alignment horizontal="left" vertical="top" wrapText="1"/>
    </xf>
    <xf numFmtId="0" fontId="19" fillId="0" borderId="18" xfId="0" applyFont="1" applyBorder="1" applyAlignment="1">
      <alignment horizontal="left" vertical="top"/>
    </xf>
    <xf numFmtId="0" fontId="19" fillId="0" borderId="53" xfId="0" applyFont="1" applyBorder="1" applyAlignment="1">
      <alignment horizontal="left" vertical="top"/>
    </xf>
    <xf numFmtId="0" fontId="19" fillId="0" borderId="23" xfId="0" applyFont="1" applyBorder="1" applyAlignment="1">
      <alignment horizontal="left" vertical="top"/>
    </xf>
    <xf numFmtId="0" fontId="19" fillId="0" borderId="32" xfId="0" applyFont="1" applyBorder="1" applyAlignment="1">
      <alignment horizontal="center" vertical="center"/>
    </xf>
    <xf numFmtId="0" fontId="19" fillId="0" borderId="33" xfId="0" applyFont="1" applyBorder="1" applyAlignment="1">
      <alignment horizontal="center" vertical="center"/>
    </xf>
    <xf numFmtId="0" fontId="19" fillId="0" borderId="55" xfId="0" applyFont="1" applyBorder="1" applyAlignment="1">
      <alignment horizontal="center" vertical="center"/>
    </xf>
    <xf numFmtId="0" fontId="19" fillId="0" borderId="45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19" fillId="0" borderId="11" xfId="0" applyFont="1" applyBorder="1" applyAlignment="1">
      <alignment horizontal="left" vertical="center"/>
    </xf>
    <xf numFmtId="0" fontId="19" fillId="0" borderId="12" xfId="0" applyFont="1" applyBorder="1" applyAlignment="1">
      <alignment horizontal="left" vertical="center"/>
    </xf>
    <xf numFmtId="165" fontId="19" fillId="0" borderId="12" xfId="1" applyNumberFormat="1" applyFont="1" applyBorder="1" applyAlignment="1">
      <alignment horizontal="center" vertical="center"/>
    </xf>
    <xf numFmtId="165" fontId="19" fillId="0" borderId="19" xfId="1" applyNumberFormat="1" applyFont="1" applyBorder="1" applyAlignment="1">
      <alignment horizontal="center" vertical="center"/>
    </xf>
    <xf numFmtId="165" fontId="19" fillId="0" borderId="29" xfId="1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left" vertical="center"/>
    </xf>
    <xf numFmtId="0" fontId="19" fillId="0" borderId="20" xfId="0" applyFont="1" applyBorder="1" applyAlignment="1">
      <alignment horizontal="left" vertical="center"/>
    </xf>
    <xf numFmtId="0" fontId="19" fillId="0" borderId="22" xfId="0" applyFont="1" applyBorder="1" applyAlignment="1">
      <alignment horizontal="left" vertical="center"/>
    </xf>
    <xf numFmtId="0" fontId="19" fillId="0" borderId="13" xfId="0" applyFont="1" applyBorder="1" applyAlignment="1">
      <alignment horizontal="left" vertical="center"/>
    </xf>
    <xf numFmtId="0" fontId="19" fillId="0" borderId="14" xfId="0" applyFont="1" applyBorder="1" applyAlignment="1">
      <alignment horizontal="left" vertical="center"/>
    </xf>
    <xf numFmtId="165" fontId="19" fillId="0" borderId="14" xfId="1" applyNumberFormat="1" applyFont="1" applyBorder="1" applyAlignment="1">
      <alignment horizontal="center" vertical="center"/>
    </xf>
    <xf numFmtId="168" fontId="19" fillId="0" borderId="21" xfId="1" applyNumberFormat="1" applyFont="1" applyBorder="1" applyAlignment="1">
      <alignment horizontal="center" vertical="center"/>
    </xf>
    <xf numFmtId="168" fontId="19" fillId="0" borderId="31" xfId="1" applyNumberFormat="1" applyFont="1" applyBorder="1" applyAlignment="1">
      <alignment horizontal="center" vertical="center"/>
    </xf>
    <xf numFmtId="0" fontId="19" fillId="0" borderId="18" xfId="0" applyFont="1" applyBorder="1" applyAlignment="1">
      <alignment horizontal="left" vertical="center"/>
    </xf>
    <xf numFmtId="0" fontId="19" fillId="0" borderId="23" xfId="0" applyFont="1" applyBorder="1" applyAlignment="1">
      <alignment horizontal="left" vertical="center"/>
    </xf>
    <xf numFmtId="0" fontId="19" fillId="0" borderId="59" xfId="0" applyFont="1" applyBorder="1" applyAlignment="1">
      <alignment horizontal="left" vertical="center" wrapText="1"/>
    </xf>
    <xf numFmtId="0" fontId="19" fillId="0" borderId="59" xfId="0" applyFont="1" applyBorder="1" applyAlignment="1">
      <alignment horizontal="left" vertical="center"/>
    </xf>
    <xf numFmtId="0" fontId="19" fillId="0" borderId="50" xfId="0" applyFont="1" applyBorder="1" applyAlignment="1">
      <alignment horizontal="center" vertical="center"/>
    </xf>
    <xf numFmtId="0" fontId="19" fillId="0" borderId="41" xfId="0" applyFont="1" applyBorder="1" applyAlignment="1">
      <alignment horizontal="left" vertical="center" wrapText="1"/>
    </xf>
    <xf numFmtId="0" fontId="19" fillId="0" borderId="46" xfId="0" applyFont="1" applyBorder="1" applyAlignment="1">
      <alignment horizontal="left" vertical="center" wrapText="1"/>
    </xf>
    <xf numFmtId="0" fontId="19" fillId="0" borderId="41" xfId="0" applyFont="1" applyBorder="1" applyAlignment="1">
      <alignment horizontal="left" vertical="center"/>
    </xf>
    <xf numFmtId="0" fontId="19" fillId="0" borderId="46" xfId="0" applyFont="1" applyBorder="1" applyAlignment="1">
      <alignment horizontal="left" vertical="center"/>
    </xf>
    <xf numFmtId="0" fontId="19" fillId="0" borderId="61" xfId="0" applyFont="1" applyBorder="1" applyAlignment="1">
      <alignment horizontal="left" vertical="center" wrapText="1"/>
    </xf>
    <xf numFmtId="0" fontId="19" fillId="0" borderId="61" xfId="0" applyFont="1" applyBorder="1" applyAlignment="1">
      <alignment horizontal="left" vertical="center"/>
    </xf>
    <xf numFmtId="0" fontId="19" fillId="0" borderId="49" xfId="0" applyFont="1" applyBorder="1" applyAlignment="1">
      <alignment horizontal="center" vertical="center"/>
    </xf>
    <xf numFmtId="0" fontId="19" fillId="0" borderId="43" xfId="0" applyFont="1" applyBorder="1" applyAlignment="1">
      <alignment horizontal="left" vertical="center"/>
    </xf>
    <xf numFmtId="0" fontId="19" fillId="0" borderId="54" xfId="0" applyFont="1" applyBorder="1" applyAlignment="1">
      <alignment horizontal="left" vertical="center" wrapText="1"/>
    </xf>
    <xf numFmtId="0" fontId="19" fillId="0" borderId="53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 wrapText="1"/>
    </xf>
    <xf numFmtId="0" fontId="6" fillId="0" borderId="26" xfId="0" applyFont="1" applyBorder="1" applyAlignment="1">
      <alignment horizontal="left" vertical="center" wrapText="1"/>
    </xf>
    <xf numFmtId="0" fontId="6" fillId="0" borderId="27" xfId="0" applyFont="1" applyBorder="1" applyAlignment="1">
      <alignment horizontal="left" vertical="center" wrapText="1"/>
    </xf>
    <xf numFmtId="0" fontId="6" fillId="0" borderId="19" xfId="0" applyFont="1" applyBorder="1" applyAlignment="1">
      <alignment horizontal="left" vertical="center" wrapText="1"/>
    </xf>
    <xf numFmtId="0" fontId="6" fillId="0" borderId="28" xfId="0" applyFont="1" applyBorder="1" applyAlignment="1">
      <alignment horizontal="left" vertical="center" wrapText="1"/>
    </xf>
    <xf numFmtId="0" fontId="6" fillId="0" borderId="29" xfId="0" applyFont="1" applyBorder="1" applyAlignment="1">
      <alignment horizontal="left" vertical="center" wrapText="1"/>
    </xf>
    <xf numFmtId="0" fontId="6" fillId="0" borderId="21" xfId="0" applyFont="1" applyBorder="1" applyAlignment="1">
      <alignment horizontal="left" vertical="center" wrapText="1"/>
    </xf>
    <xf numFmtId="0" fontId="6" fillId="0" borderId="30" xfId="0" applyFont="1" applyBorder="1" applyAlignment="1">
      <alignment horizontal="left" vertical="center" wrapText="1"/>
    </xf>
    <xf numFmtId="0" fontId="6" fillId="0" borderId="31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5" fillId="4" borderId="0" xfId="0" applyFont="1" applyFill="1" applyAlignment="1">
      <alignment horizontal="left" vertical="center" wrapText="1"/>
    </xf>
    <xf numFmtId="0" fontId="10" fillId="0" borderId="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0" borderId="24" xfId="0" applyFont="1" applyBorder="1" applyAlignment="1">
      <alignment horizontal="center" vertical="center"/>
    </xf>
    <xf numFmtId="0" fontId="10" fillId="0" borderId="11" xfId="0" applyFont="1" applyBorder="1" applyAlignment="1">
      <alignment horizontal="left" vertical="center"/>
    </xf>
    <xf numFmtId="0" fontId="10" fillId="0" borderId="12" xfId="0" applyFont="1" applyBorder="1" applyAlignment="1">
      <alignment horizontal="left" vertical="center"/>
    </xf>
    <xf numFmtId="0" fontId="10" fillId="0" borderId="12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3" xfId="0" applyFont="1" applyBorder="1" applyAlignment="1">
      <alignment horizontal="left" vertical="center"/>
    </xf>
    <xf numFmtId="0" fontId="10" fillId="0" borderId="14" xfId="0" applyFont="1" applyBorder="1" applyAlignment="1">
      <alignment horizontal="left" vertical="center"/>
    </xf>
    <xf numFmtId="0" fontId="10" fillId="0" borderId="14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14" fillId="0" borderId="23" xfId="0" applyFont="1" applyBorder="1" applyAlignment="1">
      <alignment horizontal="center" vertical="center"/>
    </xf>
    <xf numFmtId="0" fontId="5" fillId="0" borderId="9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14" fillId="0" borderId="9" xfId="0" applyFont="1" applyBorder="1" applyAlignment="1">
      <alignment horizontal="center" vertical="center"/>
    </xf>
    <xf numFmtId="0" fontId="14" fillId="0" borderId="11" xfId="0" applyFont="1" applyBorder="1" applyAlignment="1">
      <alignment horizontal="left" vertical="center"/>
    </xf>
    <xf numFmtId="0" fontId="14" fillId="0" borderId="12" xfId="0" applyFont="1" applyBorder="1" applyAlignment="1">
      <alignment horizontal="left" vertical="center"/>
    </xf>
    <xf numFmtId="0" fontId="10" fillId="0" borderId="18" xfId="0" applyFont="1" applyBorder="1" applyAlignment="1">
      <alignment horizontal="left" vertical="center"/>
    </xf>
    <xf numFmtId="0" fontId="14" fillId="0" borderId="49" xfId="0" applyFont="1" applyBorder="1" applyAlignment="1">
      <alignment horizontal="center" vertical="center"/>
    </xf>
    <xf numFmtId="0" fontId="14" fillId="0" borderId="41" xfId="0" applyFont="1" applyBorder="1" applyAlignment="1">
      <alignment horizontal="center" vertical="center"/>
    </xf>
    <xf numFmtId="0" fontId="14" fillId="0" borderId="53" xfId="0" applyFont="1" applyBorder="1" applyAlignment="1">
      <alignment horizontal="center" vertical="center"/>
    </xf>
    <xf numFmtId="0" fontId="10" fillId="0" borderId="12" xfId="0" applyFont="1" applyBorder="1" applyAlignment="1">
      <alignment horizontal="right" vertical="center"/>
    </xf>
    <xf numFmtId="165" fontId="10" fillId="0" borderId="12" xfId="1" applyNumberFormat="1" applyFont="1" applyBorder="1" applyAlignment="1">
      <alignment horizontal="right" vertical="center"/>
    </xf>
    <xf numFmtId="0" fontId="14" fillId="0" borderId="13" xfId="0" applyFont="1" applyBorder="1" applyAlignment="1">
      <alignment horizontal="left" vertical="center"/>
    </xf>
    <xf numFmtId="0" fontId="14" fillId="0" borderId="14" xfId="0" applyFont="1" applyBorder="1" applyAlignment="1">
      <alignment horizontal="left" vertical="center"/>
    </xf>
    <xf numFmtId="165" fontId="10" fillId="0" borderId="21" xfId="1" applyNumberFormat="1" applyFont="1" applyBorder="1" applyAlignment="1">
      <alignment horizontal="right" vertical="center"/>
    </xf>
    <xf numFmtId="165" fontId="10" fillId="0" borderId="30" xfId="1" applyNumberFormat="1" applyFont="1" applyBorder="1" applyAlignment="1">
      <alignment horizontal="right" vertical="center"/>
    </xf>
    <xf numFmtId="0" fontId="10" fillId="0" borderId="23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4" fillId="0" borderId="10" xfId="0" applyFont="1" applyBorder="1" applyAlignment="1">
      <alignment vertical="center"/>
    </xf>
    <xf numFmtId="0" fontId="14" fillId="0" borderId="26" xfId="0" applyFont="1" applyBorder="1" applyAlignment="1">
      <alignment horizontal="center" vertical="center"/>
    </xf>
    <xf numFmtId="0" fontId="14" fillId="0" borderId="27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12" xfId="0" applyFont="1" applyBorder="1" applyAlignment="1">
      <alignment vertical="center"/>
    </xf>
    <xf numFmtId="0" fontId="10" fillId="0" borderId="12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14" fillId="0" borderId="14" xfId="0" applyFont="1" applyBorder="1" applyAlignment="1">
      <alignment vertical="center"/>
    </xf>
    <xf numFmtId="0" fontId="10" fillId="0" borderId="14" xfId="0" applyFont="1" applyBorder="1" applyAlignment="1">
      <alignment horizontal="center" vertical="center" wrapText="1"/>
    </xf>
    <xf numFmtId="0" fontId="10" fillId="0" borderId="23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 wrapText="1"/>
    </xf>
    <xf numFmtId="0" fontId="14" fillId="0" borderId="32" xfId="0" applyFont="1" applyBorder="1" applyAlignment="1">
      <alignment horizontal="center" vertical="center"/>
    </xf>
    <xf numFmtId="0" fontId="14" fillId="0" borderId="33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4" fillId="0" borderId="59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0" borderId="34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4" fillId="0" borderId="69" xfId="0" applyFont="1" applyBorder="1" applyAlignment="1">
      <alignment horizontal="center" vertical="center"/>
    </xf>
    <xf numFmtId="0" fontId="14" fillId="0" borderId="70" xfId="0" applyFont="1" applyBorder="1" applyAlignment="1">
      <alignment horizontal="center" vertical="center"/>
    </xf>
    <xf numFmtId="0" fontId="10" fillId="0" borderId="77" xfId="0" applyFont="1" applyBorder="1" applyAlignment="1">
      <alignment horizontal="center" vertical="center" wrapText="1"/>
    </xf>
    <xf numFmtId="0" fontId="10" fillId="0" borderId="78" xfId="0" applyFont="1" applyBorder="1" applyAlignment="1">
      <alignment horizontal="center" vertical="center" wrapText="1"/>
    </xf>
    <xf numFmtId="0" fontId="10" fillId="0" borderId="79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0" fontId="10" fillId="0" borderId="0" xfId="0" applyFont="1" applyAlignment="1">
      <alignment horizontal="center" vertical="center" wrapText="1"/>
    </xf>
    <xf numFmtId="0" fontId="14" fillId="0" borderId="41" xfId="0" applyFont="1" applyBorder="1" applyAlignment="1">
      <alignment vertical="center"/>
    </xf>
    <xf numFmtId="0" fontId="14" fillId="0" borderId="42" xfId="0" applyFont="1" applyBorder="1" applyAlignment="1">
      <alignment horizontal="center" vertical="center"/>
    </xf>
    <xf numFmtId="0" fontId="14" fillId="0" borderId="66" xfId="0" applyFont="1" applyBorder="1" applyAlignment="1">
      <alignment horizontal="center" vertical="center"/>
    </xf>
    <xf numFmtId="0" fontId="14" fillId="0" borderId="58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62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0" fillId="0" borderId="32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59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3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 wrapText="1"/>
    </xf>
    <xf numFmtId="0" fontId="14" fillId="0" borderId="18" xfId="0" applyFont="1" applyBorder="1" applyAlignment="1">
      <alignment horizontal="center" vertical="center"/>
    </xf>
    <xf numFmtId="0" fontId="6" fillId="0" borderId="71" xfId="0" applyFont="1" applyBorder="1" applyAlignment="1">
      <alignment horizontal="center" vertical="center"/>
    </xf>
    <xf numFmtId="0" fontId="6" fillId="0" borderId="72" xfId="0" applyFont="1" applyBorder="1" applyAlignment="1">
      <alignment horizontal="center" vertical="center"/>
    </xf>
    <xf numFmtId="0" fontId="6" fillId="0" borderId="73" xfId="0" applyFont="1" applyBorder="1" applyAlignment="1">
      <alignment horizontal="center" vertical="center"/>
    </xf>
    <xf numFmtId="0" fontId="6" fillId="0" borderId="74" xfId="0" applyFont="1" applyBorder="1" applyAlignment="1">
      <alignment horizontal="center" vertical="center"/>
    </xf>
    <xf numFmtId="0" fontId="6" fillId="0" borderId="75" xfId="0" applyFont="1" applyBorder="1" applyAlignment="1">
      <alignment horizontal="center" vertical="center"/>
    </xf>
    <xf numFmtId="0" fontId="6" fillId="0" borderId="76" xfId="0" applyFont="1" applyBorder="1" applyAlignment="1">
      <alignment horizontal="center" vertical="center"/>
    </xf>
    <xf numFmtId="0" fontId="10" fillId="0" borderId="42" xfId="0" applyFont="1" applyBorder="1" applyAlignment="1">
      <alignment horizontal="center" vertical="center" wrapText="1"/>
    </xf>
    <xf numFmtId="0" fontId="10" fillId="0" borderId="65" xfId="0" applyFont="1" applyBorder="1" applyAlignment="1">
      <alignment horizontal="center" vertical="center" wrapText="1"/>
    </xf>
    <xf numFmtId="0" fontId="10" fillId="0" borderId="66" xfId="0" applyFont="1" applyBorder="1" applyAlignment="1">
      <alignment horizontal="center" vertical="center" wrapText="1"/>
    </xf>
    <xf numFmtId="165" fontId="10" fillId="0" borderId="14" xfId="1" applyNumberFormat="1" applyFont="1" applyBorder="1" applyAlignment="1">
      <alignment horizontal="right" vertical="center"/>
    </xf>
    <xf numFmtId="0" fontId="19" fillId="0" borderId="0" xfId="0" applyFont="1" applyAlignment="1">
      <alignment horizontal="left" vertical="center" wrapText="1"/>
    </xf>
    <xf numFmtId="0" fontId="20" fillId="0" borderId="0" xfId="0" applyFont="1" applyAlignment="1">
      <alignment horizontal="left" vertical="center" wrapText="1"/>
    </xf>
    <xf numFmtId="0" fontId="20" fillId="0" borderId="0" xfId="0" applyFont="1" applyAlignment="1">
      <alignment horizontal="left" vertical="center"/>
    </xf>
    <xf numFmtId="0" fontId="20" fillId="0" borderId="0" xfId="0" applyFont="1" applyAlignment="1">
      <alignment horizontal="center" vertical="center"/>
    </xf>
    <xf numFmtId="165" fontId="19" fillId="0" borderId="0" xfId="1" applyNumberFormat="1" applyFont="1" applyBorder="1" applyAlignment="1">
      <alignment horizontal="left" vertical="center" wrapText="1"/>
    </xf>
    <xf numFmtId="0" fontId="19" fillId="0" borderId="0" xfId="1" applyNumberFormat="1" applyFont="1" applyBorder="1" applyAlignment="1">
      <alignment horizontal="left" vertical="center"/>
    </xf>
    <xf numFmtId="0" fontId="20" fillId="0" borderId="0" xfId="0" applyFont="1" applyAlignment="1">
      <alignment horizontal="center" vertical="center" wrapText="1"/>
    </xf>
    <xf numFmtId="9" fontId="20" fillId="0" borderId="0" xfId="2" applyFont="1" applyBorder="1" applyAlignment="1">
      <alignment horizontal="center" vertical="center"/>
    </xf>
    <xf numFmtId="165" fontId="19" fillId="0" borderId="0" xfId="0" applyNumberFormat="1" applyFont="1" applyAlignment="1">
      <alignment horizontal="left" vertical="center"/>
    </xf>
    <xf numFmtId="0" fontId="20" fillId="0" borderId="0" xfId="0" applyFont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170" fontId="20" fillId="0" borderId="80" xfId="0" applyNumberFormat="1" applyFont="1" applyBorder="1" applyAlignment="1">
      <alignment horizontal="center" vertical="center"/>
    </xf>
    <xf numFmtId="170" fontId="20" fillId="0" borderId="30" xfId="0" applyNumberFormat="1" applyFont="1" applyBorder="1" applyAlignment="1">
      <alignment horizontal="center" vertical="center"/>
    </xf>
    <xf numFmtId="170" fontId="20" fillId="0" borderId="22" xfId="0" applyNumberFormat="1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21" xfId="0" applyFont="1" applyBorder="1" applyAlignment="1">
      <alignment horizontal="center" vertical="center" wrapText="1"/>
    </xf>
    <xf numFmtId="0" fontId="20" fillId="0" borderId="30" xfId="0" applyFont="1" applyBorder="1" applyAlignment="1">
      <alignment horizontal="center" vertical="center" wrapText="1"/>
    </xf>
    <xf numFmtId="0" fontId="20" fillId="0" borderId="3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55" xfId="0" applyFont="1" applyBorder="1" applyAlignment="1">
      <alignment horizontal="center" vertical="center"/>
    </xf>
    <xf numFmtId="0" fontId="20" fillId="0" borderId="56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9" fontId="20" fillId="0" borderId="10" xfId="2" applyFont="1" applyBorder="1" applyAlignment="1">
      <alignment horizontal="center" vertical="center"/>
    </xf>
    <xf numFmtId="9" fontId="20" fillId="0" borderId="10" xfId="2" applyFont="1" applyFill="1" applyBorder="1" applyAlignment="1">
      <alignment horizontal="center" vertical="center"/>
    </xf>
    <xf numFmtId="9" fontId="20" fillId="0" borderId="12" xfId="2" applyFont="1" applyBorder="1" applyAlignment="1">
      <alignment horizontal="center" vertical="center"/>
    </xf>
    <xf numFmtId="9" fontId="20" fillId="0" borderId="12" xfId="2" applyFont="1" applyFill="1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57" xfId="0" applyFont="1" applyBorder="1" applyAlignment="1">
      <alignment horizontal="center" vertical="center"/>
    </xf>
    <xf numFmtId="0" fontId="20" fillId="0" borderId="32" xfId="0" applyFont="1" applyBorder="1" applyAlignment="1">
      <alignment horizontal="center" vertical="center"/>
    </xf>
    <xf numFmtId="0" fontId="20" fillId="0" borderId="65" xfId="0" applyFont="1" applyBorder="1" applyAlignment="1">
      <alignment horizontal="center" vertical="center"/>
    </xf>
    <xf numFmtId="0" fontId="20" fillId="0" borderId="33" xfId="0" applyFont="1" applyBorder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20" fillId="0" borderId="59" xfId="0" applyFont="1" applyBorder="1" applyAlignment="1">
      <alignment horizontal="center" vertical="center"/>
    </xf>
    <xf numFmtId="0" fontId="20" fillId="0" borderId="42" xfId="0" applyFont="1" applyBorder="1" applyAlignment="1">
      <alignment horizontal="center" vertical="center"/>
    </xf>
    <xf numFmtId="0" fontId="20" fillId="0" borderId="58" xfId="0" applyFont="1" applyBorder="1" applyAlignment="1">
      <alignment horizontal="center" vertical="center"/>
    </xf>
    <xf numFmtId="0" fontId="20" fillId="0" borderId="42" xfId="0" applyFont="1" applyBorder="1" applyAlignment="1">
      <alignment horizontal="center" vertical="center" wrapText="1"/>
    </xf>
    <xf numFmtId="0" fontId="20" fillId="0" borderId="65" xfId="0" applyFont="1" applyBorder="1" applyAlignment="1">
      <alignment horizontal="center" vertical="center" wrapText="1"/>
    </xf>
    <xf numFmtId="0" fontId="20" fillId="0" borderId="66" xfId="0" applyFont="1" applyBorder="1" applyAlignment="1">
      <alignment horizontal="center" vertical="center" wrapText="1"/>
    </xf>
    <xf numFmtId="0" fontId="20" fillId="0" borderId="58" xfId="0" applyFont="1" applyBorder="1" applyAlignment="1">
      <alignment horizontal="center" vertical="center" wrapText="1"/>
    </xf>
    <xf numFmtId="0" fontId="20" fillId="0" borderId="5" xfId="0" applyFont="1" applyBorder="1" applyAlignment="1">
      <alignment horizontal="center" vertical="center" wrapText="1"/>
    </xf>
    <xf numFmtId="0" fontId="20" fillId="0" borderId="44" xfId="0" applyFont="1" applyBorder="1" applyAlignment="1">
      <alignment horizontal="center" vertical="center" wrapText="1"/>
    </xf>
    <xf numFmtId="0" fontId="20" fillId="0" borderId="56" xfId="0" applyFont="1" applyBorder="1" applyAlignment="1">
      <alignment horizontal="center" vertical="center" wrapText="1"/>
    </xf>
    <xf numFmtId="0" fontId="20" fillId="0" borderId="57" xfId="0" applyFont="1" applyBorder="1" applyAlignment="1">
      <alignment horizontal="center" vertical="center" wrapText="1"/>
    </xf>
    <xf numFmtId="165" fontId="19" fillId="0" borderId="0" xfId="1" applyNumberFormat="1" applyFont="1" applyBorder="1" applyAlignment="1">
      <alignment horizontal="center" vertical="center"/>
    </xf>
    <xf numFmtId="39" fontId="19" fillId="0" borderId="0" xfId="1" applyNumberFormat="1" applyFont="1" applyBorder="1" applyAlignment="1">
      <alignment horizontal="center" vertical="center"/>
    </xf>
    <xf numFmtId="164" fontId="19" fillId="0" borderId="0" xfId="1" applyFont="1" applyBorder="1" applyAlignment="1">
      <alignment horizontal="center" vertical="center"/>
    </xf>
    <xf numFmtId="0" fontId="20" fillId="0" borderId="68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0" fontId="20" fillId="2" borderId="19" xfId="0" applyFont="1" applyFill="1" applyBorder="1" applyAlignment="1">
      <alignment horizontal="center" vertical="center"/>
    </xf>
    <xf numFmtId="0" fontId="20" fillId="2" borderId="28" xfId="0" applyFont="1" applyFill="1" applyBorder="1" applyAlignment="1">
      <alignment horizontal="center" vertical="center"/>
    </xf>
    <xf numFmtId="0" fontId="20" fillId="2" borderId="20" xfId="0" applyFont="1" applyFill="1" applyBorder="1" applyAlignment="1">
      <alignment horizontal="center" vertical="center"/>
    </xf>
    <xf numFmtId="168" fontId="19" fillId="0" borderId="0" xfId="1" applyNumberFormat="1" applyFont="1" applyBorder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left" vertical="center" wrapText="1"/>
    </xf>
    <xf numFmtId="0" fontId="19" fillId="2" borderId="0" xfId="0" applyFont="1" applyFill="1" applyAlignment="1">
      <alignment horizontal="left" vertical="center"/>
    </xf>
    <xf numFmtId="0" fontId="19" fillId="0" borderId="9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21" fillId="4" borderId="0" xfId="0" applyFont="1" applyFill="1" applyAlignment="1">
      <alignment horizontal="left" vertical="center" wrapText="1"/>
    </xf>
    <xf numFmtId="0" fontId="20" fillId="0" borderId="11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20" fillId="0" borderId="34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20" fillId="0" borderId="62" xfId="0" applyFont="1" applyBorder="1" applyAlignment="1">
      <alignment horizontal="center" vertical="center"/>
    </xf>
    <xf numFmtId="0" fontId="20" fillId="0" borderId="7" xfId="0" applyFont="1" applyBorder="1" applyAlignment="1">
      <alignment horizontal="center" vertical="center"/>
    </xf>
    <xf numFmtId="0" fontId="20" fillId="0" borderId="11" xfId="0" applyFont="1" applyBorder="1" applyAlignment="1">
      <alignment horizontal="left" vertical="center"/>
    </xf>
    <xf numFmtId="0" fontId="20" fillId="0" borderId="12" xfId="0" applyFont="1" applyBorder="1" applyAlignment="1">
      <alignment horizontal="left" vertical="center"/>
    </xf>
    <xf numFmtId="165" fontId="19" fillId="0" borderId="12" xfId="1" applyNumberFormat="1" applyFont="1" applyBorder="1" applyAlignment="1">
      <alignment horizontal="right" vertical="center"/>
    </xf>
    <xf numFmtId="0" fontId="20" fillId="0" borderId="13" xfId="0" applyFont="1" applyBorder="1" applyAlignment="1">
      <alignment horizontal="left" vertical="center"/>
    </xf>
    <xf numFmtId="0" fontId="20" fillId="0" borderId="14" xfId="0" applyFont="1" applyBorder="1" applyAlignment="1">
      <alignment horizontal="left" vertical="center"/>
    </xf>
    <xf numFmtId="165" fontId="19" fillId="0" borderId="14" xfId="1" applyNumberFormat="1" applyFont="1" applyBorder="1" applyAlignment="1">
      <alignment horizontal="right" vertical="center"/>
    </xf>
    <xf numFmtId="0" fontId="19" fillId="0" borderId="23" xfId="0" applyFont="1" applyBorder="1" applyAlignment="1">
      <alignment horizontal="center" vertical="center"/>
    </xf>
    <xf numFmtId="0" fontId="20" fillId="0" borderId="14" xfId="0" applyFont="1" applyBorder="1" applyAlignment="1">
      <alignment horizontal="center" vertical="center"/>
    </xf>
    <xf numFmtId="0" fontId="20" fillId="0" borderId="9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24" xfId="0" applyFont="1" applyBorder="1" applyAlignment="1">
      <alignment horizontal="left" vertical="center" wrapText="1"/>
    </xf>
    <xf numFmtId="0" fontId="20" fillId="0" borderId="12" xfId="0" applyFont="1" applyBorder="1" applyAlignment="1">
      <alignment vertical="center"/>
    </xf>
    <xf numFmtId="0" fontId="19" fillId="0" borderId="18" xfId="0" applyFont="1" applyBorder="1" applyAlignment="1">
      <alignment horizontal="center" vertical="center" wrapText="1"/>
    </xf>
    <xf numFmtId="0" fontId="20" fillId="0" borderId="10" xfId="0" applyFont="1" applyBorder="1" applyAlignment="1">
      <alignment vertical="center"/>
    </xf>
    <xf numFmtId="0" fontId="20" fillId="0" borderId="27" xfId="0" applyFont="1" applyBorder="1" applyAlignment="1">
      <alignment horizontal="center" vertical="center"/>
    </xf>
    <xf numFmtId="0" fontId="20" fillId="0" borderId="41" xfId="0" applyFont="1" applyBorder="1" applyAlignment="1">
      <alignment horizontal="center" vertical="center"/>
    </xf>
    <xf numFmtId="0" fontId="20" fillId="0" borderId="41" xfId="0" applyFont="1" applyBorder="1" applyAlignment="1">
      <alignment vertical="center"/>
    </xf>
    <xf numFmtId="0" fontId="19" fillId="0" borderId="32" xfId="0" applyFont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/>
    </xf>
    <xf numFmtId="0" fontId="19" fillId="0" borderId="59" xfId="0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19" fillId="0" borderId="34" xfId="0" applyFont="1" applyBorder="1" applyAlignment="1">
      <alignment horizontal="center" vertical="center"/>
    </xf>
    <xf numFmtId="0" fontId="19" fillId="0" borderId="71" xfId="0" applyFont="1" applyBorder="1" applyAlignment="1">
      <alignment horizontal="center" vertical="center"/>
    </xf>
    <xf numFmtId="0" fontId="19" fillId="0" borderId="72" xfId="0" applyFont="1" applyBorder="1" applyAlignment="1">
      <alignment horizontal="center" vertical="center"/>
    </xf>
    <xf numFmtId="0" fontId="19" fillId="0" borderId="73" xfId="0" applyFont="1" applyBorder="1" applyAlignment="1">
      <alignment horizontal="center" vertical="center"/>
    </xf>
    <xf numFmtId="0" fontId="19" fillId="0" borderId="74" xfId="0" applyFont="1" applyBorder="1" applyAlignment="1">
      <alignment horizontal="center" vertical="center"/>
    </xf>
    <xf numFmtId="0" fontId="19" fillId="0" borderId="75" xfId="0" applyFont="1" applyBorder="1" applyAlignment="1">
      <alignment horizontal="center" vertical="center"/>
    </xf>
    <xf numFmtId="0" fontId="19" fillId="0" borderId="76" xfId="0" applyFont="1" applyBorder="1" applyAlignment="1">
      <alignment horizontal="center" vertical="center"/>
    </xf>
    <xf numFmtId="0" fontId="19" fillId="0" borderId="42" xfId="0" applyFont="1" applyBorder="1" applyAlignment="1">
      <alignment horizontal="center" vertical="center" wrapText="1"/>
    </xf>
    <xf numFmtId="0" fontId="19" fillId="0" borderId="65" xfId="0" applyFont="1" applyBorder="1" applyAlignment="1">
      <alignment horizontal="center" vertical="center" wrapText="1"/>
    </xf>
    <xf numFmtId="0" fontId="19" fillId="0" borderId="66" xfId="0" applyFont="1" applyBorder="1" applyAlignment="1">
      <alignment horizontal="center" vertical="center" wrapText="1"/>
    </xf>
    <xf numFmtId="0" fontId="20" fillId="0" borderId="14" xfId="0" applyFont="1" applyBorder="1" applyAlignment="1">
      <alignment vertical="center"/>
    </xf>
    <xf numFmtId="0" fontId="20" fillId="0" borderId="69" xfId="0" applyFont="1" applyBorder="1" applyAlignment="1">
      <alignment horizontal="center" vertical="center"/>
    </xf>
    <xf numFmtId="0" fontId="20" fillId="0" borderId="70" xfId="0" applyFont="1" applyBorder="1" applyAlignment="1">
      <alignment horizontal="center" vertical="center"/>
    </xf>
    <xf numFmtId="0" fontId="19" fillId="0" borderId="77" xfId="0" applyFont="1" applyBorder="1" applyAlignment="1">
      <alignment horizontal="center" vertical="center" wrapText="1"/>
    </xf>
    <xf numFmtId="0" fontId="19" fillId="0" borderId="78" xfId="0" applyFont="1" applyBorder="1" applyAlignment="1">
      <alignment horizontal="center" vertical="center" wrapText="1"/>
    </xf>
    <xf numFmtId="0" fontId="19" fillId="0" borderId="79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38" xfId="0" applyFont="1" applyBorder="1" applyAlignment="1">
      <alignment horizontal="center" vertical="center"/>
    </xf>
    <xf numFmtId="0" fontId="19" fillId="0" borderId="39" xfId="0" applyFont="1" applyBorder="1" applyAlignment="1">
      <alignment horizontal="center" vertical="center"/>
    </xf>
    <xf numFmtId="0" fontId="19" fillId="0" borderId="40" xfId="0" applyFont="1" applyBorder="1" applyAlignment="1">
      <alignment horizontal="center" vertical="center"/>
    </xf>
    <xf numFmtId="0" fontId="20" fillId="0" borderId="66" xfId="0" applyFont="1" applyBorder="1" applyAlignment="1">
      <alignment horizontal="center" vertical="center"/>
    </xf>
    <xf numFmtId="0" fontId="20" fillId="0" borderId="51" xfId="0" applyFont="1" applyBorder="1" applyAlignment="1">
      <alignment horizontal="left" vertical="center"/>
    </xf>
    <xf numFmtId="0" fontId="20" fillId="0" borderId="43" xfId="0" applyFont="1" applyBorder="1" applyAlignment="1">
      <alignment horizontal="left" vertical="center"/>
    </xf>
    <xf numFmtId="0" fontId="19" fillId="0" borderId="60" xfId="0" applyFont="1" applyBorder="1" applyAlignment="1">
      <alignment horizontal="left" vertical="center"/>
    </xf>
    <xf numFmtId="0" fontId="19" fillId="0" borderId="12" xfId="0" applyFont="1" applyBorder="1" applyAlignment="1">
      <alignment horizontal="right" vertical="center"/>
    </xf>
    <xf numFmtId="0" fontId="20" fillId="0" borderId="6" xfId="0" applyFont="1" applyBorder="1" applyAlignment="1">
      <alignment horizontal="left" vertical="center"/>
    </xf>
    <xf numFmtId="0" fontId="20" fillId="0" borderId="8" xfId="0" applyFont="1" applyBorder="1" applyAlignment="1">
      <alignment horizontal="left" vertical="center"/>
    </xf>
    <xf numFmtId="165" fontId="19" fillId="0" borderId="21" xfId="1" applyNumberFormat="1" applyFont="1" applyBorder="1" applyAlignment="1">
      <alignment horizontal="right" vertical="center"/>
    </xf>
    <xf numFmtId="165" fontId="19" fillId="0" borderId="30" xfId="1" applyNumberFormat="1" applyFont="1" applyBorder="1" applyAlignment="1">
      <alignment horizontal="right" vertical="center"/>
    </xf>
    <xf numFmtId="0" fontId="21" fillId="0" borderId="15" xfId="0" applyFont="1" applyBorder="1" applyAlignment="1">
      <alignment horizontal="center" vertical="center" wrapText="1"/>
    </xf>
    <xf numFmtId="0" fontId="21" fillId="0" borderId="50" xfId="0" applyFont="1" applyBorder="1" applyAlignment="1">
      <alignment horizontal="center" vertical="center" wrapText="1"/>
    </xf>
    <xf numFmtId="0" fontId="21" fillId="0" borderId="52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 wrapText="1"/>
    </xf>
    <xf numFmtId="0" fontId="19" fillId="0" borderId="5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20" fillId="0" borderId="6" xfId="0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  <xf numFmtId="165" fontId="19" fillId="0" borderId="12" xfId="1" applyNumberFormat="1" applyFont="1" applyBorder="1" applyAlignment="1">
      <alignment horizontal="left" vertical="center" wrapText="1"/>
    </xf>
    <xf numFmtId="0" fontId="19" fillId="0" borderId="12" xfId="1" applyNumberFormat="1" applyFont="1" applyBorder="1" applyAlignment="1">
      <alignment horizontal="left" vertical="center" wrapText="1"/>
    </xf>
    <xf numFmtId="0" fontId="20" fillId="0" borderId="12" xfId="1" applyNumberFormat="1" applyFont="1" applyBorder="1" applyAlignment="1">
      <alignment horizontal="left" vertical="center" wrapText="1"/>
    </xf>
    <xf numFmtId="165" fontId="19" fillId="0" borderId="12" xfId="1" applyNumberFormat="1" applyFont="1" applyBorder="1" applyAlignment="1">
      <alignment horizontal="left" vertical="center"/>
    </xf>
    <xf numFmtId="0" fontId="19" fillId="0" borderId="18" xfId="1" applyNumberFormat="1" applyFont="1" applyBorder="1" applyAlignment="1">
      <alignment horizontal="left" vertical="center"/>
    </xf>
    <xf numFmtId="0" fontId="20" fillId="0" borderId="13" xfId="0" applyFont="1" applyBorder="1" applyAlignment="1">
      <alignment horizontal="center" vertical="center"/>
    </xf>
    <xf numFmtId="0" fontId="19" fillId="2" borderId="41" xfId="0" applyFont="1" applyFill="1" applyBorder="1" applyAlignment="1">
      <alignment horizontal="center" vertical="center"/>
    </xf>
    <xf numFmtId="0" fontId="19" fillId="2" borderId="60" xfId="0" applyFont="1" applyFill="1" applyBorder="1" applyAlignment="1">
      <alignment horizontal="center" vertical="center"/>
    </xf>
    <xf numFmtId="0" fontId="19" fillId="2" borderId="46" xfId="0" applyFont="1" applyFill="1" applyBorder="1" applyAlignment="1">
      <alignment horizontal="center" vertical="center"/>
    </xf>
    <xf numFmtId="0" fontId="19" fillId="2" borderId="53" xfId="0" applyFont="1" applyFill="1" applyBorder="1" applyAlignment="1">
      <alignment horizontal="center" vertical="center"/>
    </xf>
    <xf numFmtId="0" fontId="19" fillId="2" borderId="61" xfId="0" applyFont="1" applyFill="1" applyBorder="1" applyAlignment="1">
      <alignment horizontal="center" vertical="center"/>
    </xf>
    <xf numFmtId="0" fontId="19" fillId="2" borderId="63" xfId="0" applyFont="1" applyFill="1" applyBorder="1" applyAlignment="1">
      <alignment horizontal="center" vertical="center"/>
    </xf>
    <xf numFmtId="0" fontId="25" fillId="0" borderId="4" xfId="0" applyFont="1" applyBorder="1" applyAlignment="1">
      <alignment horizontal="left" vertical="center"/>
    </xf>
    <xf numFmtId="0" fontId="25" fillId="0" borderId="0" xfId="0" applyFont="1" applyAlignment="1">
      <alignment horizontal="left" vertical="center"/>
    </xf>
    <xf numFmtId="0" fontId="25" fillId="0" borderId="5" xfId="0" applyFont="1" applyBorder="1" applyAlignment="1">
      <alignment horizontal="left" vertical="center"/>
    </xf>
    <xf numFmtId="0" fontId="19" fillId="0" borderId="19" xfId="0" applyFont="1" applyBorder="1" applyAlignment="1">
      <alignment horizontal="left" vertical="center"/>
    </xf>
    <xf numFmtId="0" fontId="20" fillId="0" borderId="35" xfId="0" applyFont="1" applyBorder="1" applyAlignment="1">
      <alignment horizontal="center" vertical="center"/>
    </xf>
    <xf numFmtId="0" fontId="20" fillId="0" borderId="36" xfId="0" applyFont="1" applyBorder="1" applyAlignment="1">
      <alignment horizontal="center" vertical="center"/>
    </xf>
    <xf numFmtId="0" fontId="20" fillId="0" borderId="37" xfId="0" applyFont="1" applyBorder="1" applyAlignment="1">
      <alignment horizontal="center" vertical="center"/>
    </xf>
    <xf numFmtId="0" fontId="19" fillId="0" borderId="65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19" fillId="0" borderId="42" xfId="0" applyFont="1" applyBorder="1" applyAlignment="1">
      <alignment horizontal="center" vertical="center"/>
    </xf>
    <xf numFmtId="0" fontId="19" fillId="0" borderId="66" xfId="0" applyFont="1" applyBorder="1" applyAlignment="1">
      <alignment horizontal="center" vertical="center"/>
    </xf>
    <xf numFmtId="0" fontId="19" fillId="0" borderId="58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19" fillId="0" borderId="62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15" xfId="0" applyFont="1" applyBorder="1" applyAlignment="1">
      <alignment horizontal="center" vertical="center"/>
    </xf>
    <xf numFmtId="0" fontId="21" fillId="0" borderId="43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/>
    </xf>
    <xf numFmtId="0" fontId="19" fillId="0" borderId="52" xfId="0" applyFont="1" applyBorder="1" applyAlignment="1">
      <alignment horizontal="center" vertical="center"/>
    </xf>
    <xf numFmtId="0" fontId="19" fillId="2" borderId="41" xfId="0" applyFont="1" applyFill="1" applyBorder="1" applyAlignment="1">
      <alignment horizontal="left" vertical="center" wrapText="1"/>
    </xf>
    <xf numFmtId="0" fontId="19" fillId="2" borderId="60" xfId="0" applyFont="1" applyFill="1" applyBorder="1" applyAlignment="1">
      <alignment horizontal="left" vertical="center"/>
    </xf>
    <xf numFmtId="0" fontId="19" fillId="2" borderId="46" xfId="0" applyFont="1" applyFill="1" applyBorder="1" applyAlignment="1">
      <alignment horizontal="left" vertical="center"/>
    </xf>
    <xf numFmtId="0" fontId="19" fillId="0" borderId="41" xfId="0" applyFont="1" applyBorder="1" applyAlignment="1">
      <alignment horizontal="center" vertical="center" wrapText="1"/>
    </xf>
    <xf numFmtId="0" fontId="19" fillId="0" borderId="43" xfId="0" applyFont="1" applyBorder="1" applyAlignment="1">
      <alignment horizontal="center" vertical="center" wrapText="1"/>
    </xf>
    <xf numFmtId="0" fontId="20" fillId="0" borderId="38" xfId="0" applyFont="1" applyBorder="1" applyAlignment="1">
      <alignment horizontal="center" vertical="center"/>
    </xf>
    <xf numFmtId="0" fontId="20" fillId="0" borderId="39" xfId="0" applyFont="1" applyBorder="1" applyAlignment="1">
      <alignment horizontal="center" vertical="center"/>
    </xf>
    <xf numFmtId="0" fontId="20" fillId="0" borderId="40" xfId="0" applyFont="1" applyBorder="1" applyAlignment="1">
      <alignment horizontal="center" vertical="center"/>
    </xf>
    <xf numFmtId="0" fontId="20" fillId="0" borderId="67" xfId="0" applyFont="1" applyBorder="1" applyAlignment="1">
      <alignment horizontal="center" vertical="center"/>
    </xf>
    <xf numFmtId="0" fontId="19" fillId="0" borderId="21" xfId="0" applyFont="1" applyBorder="1" applyAlignment="1">
      <alignment horizontal="left" vertical="center"/>
    </xf>
    <xf numFmtId="0" fontId="19" fillId="0" borderId="42" xfId="0" applyFont="1" applyBorder="1" applyAlignment="1">
      <alignment horizontal="left" vertical="center"/>
    </xf>
    <xf numFmtId="0" fontId="19" fillId="0" borderId="33" xfId="0" applyFont="1" applyBorder="1" applyAlignment="1">
      <alignment horizontal="left" vertical="center"/>
    </xf>
    <xf numFmtId="0" fontId="19" fillId="0" borderId="44" xfId="0" applyFont="1" applyBorder="1" applyAlignment="1">
      <alignment horizontal="left" vertical="center"/>
    </xf>
    <xf numFmtId="0" fontId="19" fillId="0" borderId="45" xfId="0" applyFont="1" applyBorder="1" applyAlignment="1">
      <alignment horizontal="left" vertical="center"/>
    </xf>
    <xf numFmtId="0" fontId="19" fillId="0" borderId="58" xfId="0" applyFont="1" applyBorder="1" applyAlignment="1">
      <alignment horizontal="left" vertical="center"/>
    </xf>
    <xf numFmtId="0" fontId="19" fillId="0" borderId="62" xfId="0" applyFont="1" applyBorder="1" applyAlignment="1">
      <alignment horizontal="left" vertical="center"/>
    </xf>
    <xf numFmtId="0" fontId="19" fillId="0" borderId="34" xfId="0" applyFont="1" applyBorder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6" fillId="0" borderId="11" xfId="0" applyFont="1" applyBorder="1" applyAlignment="1">
      <alignment horizontal="left" vertical="center"/>
    </xf>
    <xf numFmtId="0" fontId="6" fillId="0" borderId="12" xfId="0" applyFont="1" applyBorder="1" applyAlignment="1">
      <alignment horizontal="left" vertical="center"/>
    </xf>
    <xf numFmtId="0" fontId="6" fillId="0" borderId="12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5" fillId="0" borderId="14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6" fillId="0" borderId="10" xfId="0" applyFont="1" applyBorder="1" applyAlignment="1">
      <alignment horizontal="left" vertical="center" wrapText="1"/>
    </xf>
    <xf numFmtId="0" fontId="6" fillId="0" borderId="24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center" vertical="center"/>
    </xf>
    <xf numFmtId="165" fontId="6" fillId="0" borderId="12" xfId="1" applyNumberFormat="1" applyFont="1" applyBorder="1" applyAlignment="1">
      <alignment horizontal="center" vertical="center" wrapText="1"/>
    </xf>
    <xf numFmtId="0" fontId="6" fillId="0" borderId="12" xfId="1" applyNumberFormat="1" applyFont="1" applyBorder="1" applyAlignment="1">
      <alignment horizontal="center" vertical="center" wrapText="1"/>
    </xf>
    <xf numFmtId="0" fontId="5" fillId="0" borderId="12" xfId="1" applyNumberFormat="1" applyFont="1" applyBorder="1" applyAlignment="1">
      <alignment horizontal="left" vertical="center" wrapText="1"/>
    </xf>
    <xf numFmtId="165" fontId="6" fillId="0" borderId="12" xfId="1" applyNumberFormat="1" applyFont="1" applyBorder="1" applyAlignment="1">
      <alignment horizontal="center" vertical="center"/>
    </xf>
    <xf numFmtId="0" fontId="6" fillId="0" borderId="18" xfId="1" applyNumberFormat="1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9" fontId="5" fillId="0" borderId="10" xfId="2" applyFont="1" applyBorder="1" applyAlignment="1">
      <alignment horizontal="center" vertical="center"/>
    </xf>
    <xf numFmtId="0" fontId="6" fillId="0" borderId="19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5" fillId="0" borderId="35" xfId="0" applyFont="1" applyBorder="1" applyAlignment="1">
      <alignment horizontal="center" vertical="center"/>
    </xf>
    <xf numFmtId="0" fontId="5" fillId="0" borderId="36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53" xfId="0" applyFont="1" applyBorder="1" applyAlignment="1">
      <alignment horizontal="left" vertical="center"/>
    </xf>
    <xf numFmtId="0" fontId="6" fillId="0" borderId="61" xfId="0" applyFont="1" applyBorder="1" applyAlignment="1">
      <alignment horizontal="left" vertical="center"/>
    </xf>
    <xf numFmtId="0" fontId="6" fillId="0" borderId="11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 wrapText="1"/>
    </xf>
    <xf numFmtId="0" fontId="5" fillId="0" borderId="38" xfId="0" applyFont="1" applyBorder="1" applyAlignment="1">
      <alignment horizontal="center" vertical="center"/>
    </xf>
    <xf numFmtId="0" fontId="5" fillId="0" borderId="39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5" fillId="0" borderId="9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165" fontId="8" fillId="0" borderId="0" xfId="1" applyNumberFormat="1" applyFont="1" applyBorder="1" applyAlignment="1">
      <alignment horizontal="center" vertical="center"/>
    </xf>
    <xf numFmtId="165" fontId="6" fillId="0" borderId="0" xfId="1" applyNumberFormat="1" applyFont="1" applyBorder="1" applyAlignment="1">
      <alignment horizontal="center" vertical="center"/>
    </xf>
    <xf numFmtId="39" fontId="6" fillId="0" borderId="0" xfId="1" applyNumberFormat="1" applyFont="1" applyBorder="1" applyAlignment="1">
      <alignment horizontal="center" vertical="center"/>
    </xf>
    <xf numFmtId="164" fontId="6" fillId="0" borderId="0" xfId="1" applyFont="1" applyBorder="1" applyAlignment="1">
      <alignment horizontal="center" vertical="center"/>
    </xf>
    <xf numFmtId="168" fontId="6" fillId="0" borderId="0" xfId="1" applyNumberFormat="1" applyFont="1" applyBorder="1" applyAlignment="1">
      <alignment horizontal="center" vertical="center"/>
    </xf>
    <xf numFmtId="0" fontId="6" fillId="0" borderId="49" xfId="0" applyFont="1" applyBorder="1" applyAlignment="1">
      <alignment horizontal="center" vertical="center"/>
    </xf>
    <xf numFmtId="0" fontId="6" fillId="0" borderId="50" xfId="0" applyFont="1" applyBorder="1" applyAlignment="1">
      <alignment horizontal="center" vertical="center"/>
    </xf>
    <xf numFmtId="0" fontId="6" fillId="0" borderId="41" xfId="0" applyFont="1" applyBorder="1" applyAlignment="1">
      <alignment horizontal="left" vertical="center" wrapText="1"/>
    </xf>
    <xf numFmtId="0" fontId="6" fillId="0" borderId="60" xfId="0" applyFont="1" applyBorder="1" applyAlignment="1">
      <alignment horizontal="left" vertical="center" wrapText="1"/>
    </xf>
    <xf numFmtId="9" fontId="6" fillId="0" borderId="12" xfId="2" applyFont="1" applyBorder="1" applyAlignment="1">
      <alignment horizontal="left" vertical="center"/>
    </xf>
    <xf numFmtId="9" fontId="6" fillId="0" borderId="41" xfId="2" applyFont="1" applyBorder="1" applyAlignment="1">
      <alignment horizontal="left" vertical="center"/>
    </xf>
    <xf numFmtId="0" fontId="6" fillId="0" borderId="41" xfId="0" applyFont="1" applyBorder="1" applyAlignment="1">
      <alignment horizontal="left" vertical="center"/>
    </xf>
    <xf numFmtId="0" fontId="6" fillId="0" borderId="60" xfId="0" applyFont="1" applyBorder="1" applyAlignment="1">
      <alignment horizontal="left" vertical="center"/>
    </xf>
    <xf numFmtId="0" fontId="6" fillId="0" borderId="42" xfId="0" applyFont="1" applyBorder="1" applyAlignment="1">
      <alignment horizontal="left" vertical="center"/>
    </xf>
    <xf numFmtId="0" fontId="6" fillId="0" borderId="33" xfId="0" applyFont="1" applyBorder="1" applyAlignment="1">
      <alignment horizontal="left" vertical="center"/>
    </xf>
    <xf numFmtId="0" fontId="6" fillId="0" borderId="58" xfId="0" applyFont="1" applyBorder="1" applyAlignment="1">
      <alignment horizontal="left" vertical="center"/>
    </xf>
    <xf numFmtId="0" fontId="6" fillId="0" borderId="59" xfId="0" applyFont="1" applyBorder="1" applyAlignment="1">
      <alignment horizontal="left" vertical="center"/>
    </xf>
    <xf numFmtId="0" fontId="5" fillId="0" borderId="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19" fillId="0" borderId="19" xfId="0" applyFont="1" applyBorder="1" applyAlignment="1">
      <alignment horizontal="center" vertical="center"/>
    </xf>
    <xf numFmtId="0" fontId="19" fillId="0" borderId="28" xfId="0" applyFont="1" applyBorder="1" applyAlignment="1">
      <alignment horizontal="center" vertical="center"/>
    </xf>
    <xf numFmtId="0" fontId="19" fillId="0" borderId="20" xfId="0" applyFont="1" applyBorder="1" applyAlignment="1">
      <alignment horizontal="center" vertical="center"/>
    </xf>
    <xf numFmtId="0" fontId="19" fillId="0" borderId="29" xfId="0" applyFont="1" applyBorder="1" applyAlignment="1">
      <alignment horizontal="center" vertical="center"/>
    </xf>
    <xf numFmtId="0" fontId="19" fillId="0" borderId="21" xfId="0" applyFont="1" applyBorder="1" applyAlignment="1">
      <alignment horizontal="center" vertical="center"/>
    </xf>
    <xf numFmtId="0" fontId="19" fillId="0" borderId="30" xfId="0" applyFont="1" applyBorder="1" applyAlignment="1">
      <alignment horizontal="center" vertical="center"/>
    </xf>
    <xf numFmtId="0" fontId="19" fillId="0" borderId="31" xfId="0" applyFont="1" applyBorder="1" applyAlignment="1">
      <alignment horizontal="center" vertical="center"/>
    </xf>
    <xf numFmtId="0" fontId="20" fillId="0" borderId="15" xfId="0" applyFont="1" applyBorder="1" applyAlignment="1">
      <alignment horizontal="left" vertical="center" wrapText="1"/>
    </xf>
    <xf numFmtId="0" fontId="19" fillId="0" borderId="17" xfId="0" applyFont="1" applyBorder="1" applyAlignment="1">
      <alignment horizontal="left" vertical="center" wrapText="1"/>
    </xf>
    <xf numFmtId="0" fontId="19" fillId="0" borderId="12" xfId="1" applyNumberFormat="1" applyFont="1" applyBorder="1" applyAlignment="1">
      <alignment horizontal="left" vertical="center"/>
    </xf>
    <xf numFmtId="165" fontId="19" fillId="0" borderId="19" xfId="0" applyNumberFormat="1" applyFont="1" applyBorder="1" applyAlignment="1">
      <alignment horizontal="left" vertical="center"/>
    </xf>
    <xf numFmtId="0" fontId="19" fillId="0" borderId="28" xfId="0" applyFont="1" applyBorder="1" applyAlignment="1">
      <alignment horizontal="left" vertical="center"/>
    </xf>
    <xf numFmtId="0" fontId="20" fillId="0" borderId="43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 wrapText="1"/>
    </xf>
    <xf numFmtId="0" fontId="20" fillId="0" borderId="55" xfId="0" applyFont="1" applyBorder="1" applyAlignment="1">
      <alignment horizontal="center" vertical="center" wrapText="1"/>
    </xf>
    <xf numFmtId="0" fontId="20" fillId="0" borderId="45" xfId="0" applyFont="1" applyBorder="1" applyAlignment="1">
      <alignment horizontal="center" vertical="center" wrapText="1"/>
    </xf>
    <xf numFmtId="0" fontId="20" fillId="0" borderId="47" xfId="0" applyFont="1" applyBorder="1" applyAlignment="1">
      <alignment horizontal="center" vertic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59" xfId="0" applyFont="1" applyBorder="1" applyAlignment="1">
      <alignment horizontal="center" vertical="center" wrapText="1"/>
    </xf>
    <xf numFmtId="0" fontId="20" fillId="0" borderId="34" xfId="0" applyFont="1" applyBorder="1" applyAlignment="1">
      <alignment horizontal="center" vertical="center" wrapText="1"/>
    </xf>
    <xf numFmtId="0" fontId="20" fillId="0" borderId="62" xfId="0" applyFont="1" applyBorder="1" applyAlignment="1">
      <alignment horizontal="center" vertical="center" wrapText="1"/>
    </xf>
    <xf numFmtId="0" fontId="19" fillId="2" borderId="12" xfId="0" applyFont="1" applyFill="1" applyBorder="1" applyAlignment="1">
      <alignment horizontal="center" vertical="center"/>
    </xf>
    <xf numFmtId="0" fontId="19" fillId="2" borderId="14" xfId="0" applyFont="1" applyFill="1" applyBorder="1" applyAlignment="1">
      <alignment horizontal="center" vertical="center"/>
    </xf>
    <xf numFmtId="0" fontId="20" fillId="0" borderId="32" xfId="0" applyFont="1" applyBorder="1" applyAlignment="1">
      <alignment horizontal="left" vertical="center"/>
    </xf>
    <xf numFmtId="0" fontId="20" fillId="0" borderId="33" xfId="0" applyFont="1" applyBorder="1" applyAlignment="1">
      <alignment horizontal="left" vertical="center"/>
    </xf>
    <xf numFmtId="0" fontId="20" fillId="0" borderId="55" xfId="0" applyFont="1" applyBorder="1" applyAlignment="1">
      <alignment horizontal="left" vertical="center"/>
    </xf>
    <xf numFmtId="0" fontId="20" fillId="0" borderId="45" xfId="0" applyFont="1" applyBorder="1" applyAlignment="1">
      <alignment horizontal="left" vertical="center"/>
    </xf>
    <xf numFmtId="0" fontId="19" fillId="2" borderId="12" xfId="0" applyFont="1" applyFill="1" applyBorder="1" applyAlignment="1">
      <alignment horizontal="left" vertical="center" wrapText="1"/>
    </xf>
    <xf numFmtId="0" fontId="19" fillId="2" borderId="12" xfId="0" applyFont="1" applyFill="1" applyBorder="1" applyAlignment="1">
      <alignment horizontal="left" vertical="center"/>
    </xf>
    <xf numFmtId="0" fontId="19" fillId="2" borderId="14" xfId="0" applyFont="1" applyFill="1" applyBorder="1" applyAlignment="1">
      <alignment horizontal="left" vertical="center"/>
    </xf>
    <xf numFmtId="0" fontId="20" fillId="0" borderId="8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165" fontId="19" fillId="0" borderId="19" xfId="0" applyNumberFormat="1" applyFont="1" applyBorder="1" applyAlignment="1">
      <alignment horizontal="center" vertical="center"/>
    </xf>
    <xf numFmtId="165" fontId="19" fillId="0" borderId="20" xfId="0" applyNumberFormat="1" applyFont="1" applyBorder="1" applyAlignment="1">
      <alignment vertical="center"/>
    </xf>
    <xf numFmtId="0" fontId="19" fillId="2" borderId="43" xfId="0" applyFont="1" applyFill="1" applyBorder="1" applyAlignment="1">
      <alignment horizontal="center" vertical="center"/>
    </xf>
    <xf numFmtId="9" fontId="19" fillId="0" borderId="12" xfId="2" applyFont="1" applyBorder="1" applyAlignment="1">
      <alignment horizontal="center" vertical="center"/>
    </xf>
    <xf numFmtId="0" fontId="19" fillId="2" borderId="54" xfId="0" applyFont="1" applyFill="1" applyBorder="1" applyAlignment="1">
      <alignment horizontal="center" vertical="center"/>
    </xf>
    <xf numFmtId="0" fontId="19" fillId="0" borderId="42" xfId="0" applyFont="1" applyBorder="1" applyAlignment="1">
      <alignment horizontal="left" vertical="center" wrapText="1"/>
    </xf>
    <xf numFmtId="0" fontId="19" fillId="0" borderId="33" xfId="0" applyFont="1" applyBorder="1" applyAlignment="1">
      <alignment horizontal="left" vertical="center" wrapText="1"/>
    </xf>
    <xf numFmtId="0" fontId="19" fillId="0" borderId="44" xfId="0" applyFont="1" applyBorder="1" applyAlignment="1">
      <alignment horizontal="left" vertical="center" wrapText="1"/>
    </xf>
    <xf numFmtId="0" fontId="19" fillId="0" borderId="45" xfId="0" applyFont="1" applyBorder="1" applyAlignment="1">
      <alignment horizontal="left" vertical="center" wrapText="1"/>
    </xf>
    <xf numFmtId="165" fontId="19" fillId="0" borderId="12" xfId="1" applyNumberFormat="1" applyFont="1" applyBorder="1" applyAlignment="1">
      <alignment horizontal="center" vertical="center" wrapText="1"/>
    </xf>
    <xf numFmtId="0" fontId="19" fillId="0" borderId="12" xfId="1" applyNumberFormat="1" applyFont="1" applyBorder="1" applyAlignment="1">
      <alignment horizontal="center" vertical="center" wrapText="1"/>
    </xf>
    <xf numFmtId="0" fontId="20" fillId="0" borderId="53" xfId="0" applyFont="1" applyBorder="1" applyAlignment="1">
      <alignment horizontal="center" vertical="center"/>
    </xf>
    <xf numFmtId="0" fontId="20" fillId="0" borderId="54" xfId="0" applyFont="1" applyBorder="1" applyAlignment="1">
      <alignment horizontal="center" vertical="center"/>
    </xf>
    <xf numFmtId="9" fontId="19" fillId="0" borderId="12" xfId="2" applyFont="1" applyBorder="1" applyAlignment="1">
      <alignment horizontal="center" vertical="center" wrapText="1"/>
    </xf>
    <xf numFmtId="0" fontId="20" fillId="0" borderId="43" xfId="0" applyFont="1" applyBorder="1" applyAlignment="1">
      <alignment horizontal="center" vertical="center" wrapText="1"/>
    </xf>
    <xf numFmtId="0" fontId="19" fillId="0" borderId="18" xfId="1" applyNumberFormat="1" applyFont="1" applyBorder="1" applyAlignment="1">
      <alignment horizontal="left" vertical="center" wrapText="1"/>
    </xf>
    <xf numFmtId="165" fontId="19" fillId="0" borderId="41" xfId="1" applyNumberFormat="1" applyFont="1" applyBorder="1" applyAlignment="1">
      <alignment horizontal="center" vertical="center"/>
    </xf>
    <xf numFmtId="165" fontId="19" fillId="0" borderId="46" xfId="1" applyNumberFormat="1" applyFont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19" fillId="0" borderId="12" xfId="0" applyFont="1" applyBorder="1" applyAlignment="1">
      <alignment vertical="center" wrapText="1"/>
    </xf>
    <xf numFmtId="0" fontId="19" fillId="0" borderId="14" xfId="0" applyFont="1" applyBorder="1" applyAlignment="1">
      <alignment vertical="center" wrapText="1"/>
    </xf>
    <xf numFmtId="0" fontId="19" fillId="0" borderId="19" xfId="0" applyFont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12" xfId="0" quotePrefix="1" applyFont="1" applyBorder="1" applyAlignment="1">
      <alignment horizontal="left" vertical="center" wrapText="1"/>
    </xf>
  </cellXfs>
  <cellStyles count="4">
    <cellStyle name="Comma" xfId="1" builtinId="3"/>
    <cellStyle name="Comma 2" xfId="3" xr:uid="{1A2C0883-421E-4F3D-A421-1C398D21A826}"/>
    <cellStyle name="Normal" xfId="0" builtinId="0"/>
    <cellStyle name="Percent" xfId="2" builtinId="5"/>
  </cellStyles>
  <dxfs count="88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eg"/><Relationship Id="rId1" Type="http://schemas.openxmlformats.org/officeDocument/2006/relationships/image" Target="../media/image5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10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304800</xdr:colOff>
      <xdr:row>5</xdr:row>
      <xdr:rowOff>156391</xdr:rowOff>
    </xdr:from>
    <xdr:to>
      <xdr:col>16</xdr:col>
      <xdr:colOff>566056</xdr:colOff>
      <xdr:row>8</xdr:row>
      <xdr:rowOff>16327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F1E353C-FE5B-8000-C84A-B926460140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63943" y="1223191"/>
          <a:ext cx="914399" cy="513079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0</xdr:row>
      <xdr:rowOff>1</xdr:rowOff>
    </xdr:from>
    <xdr:to>
      <xdr:col>1</xdr:col>
      <xdr:colOff>185058</xdr:colOff>
      <xdr:row>3</xdr:row>
      <xdr:rowOff>185058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A47BA54-F931-0A42-C84E-5893DBBE02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"/>
          <a:ext cx="838200" cy="8382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185057</xdr:colOff>
      <xdr:row>5</xdr:row>
      <xdr:rowOff>163286</xdr:rowOff>
    </xdr:from>
    <xdr:to>
      <xdr:col>16</xdr:col>
      <xdr:colOff>446313</xdr:colOff>
      <xdr:row>8</xdr:row>
      <xdr:rowOff>23222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970A786-35AB-459C-82CF-A62116AB53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44200" y="1230086"/>
          <a:ext cx="914399" cy="51307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185057</xdr:colOff>
      <xdr:row>3</xdr:row>
      <xdr:rowOff>185057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936EAE-2830-4F86-97C2-AE1D32381A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38200" cy="8382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337457</xdr:colOff>
      <xdr:row>5</xdr:row>
      <xdr:rowOff>163286</xdr:rowOff>
    </xdr:from>
    <xdr:to>
      <xdr:col>16</xdr:col>
      <xdr:colOff>598713</xdr:colOff>
      <xdr:row>7</xdr:row>
      <xdr:rowOff>219165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86040EC-A377-4557-B96B-46DF33C0C2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96600" y="1240972"/>
          <a:ext cx="914399" cy="51307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190500</xdr:colOff>
      <xdr:row>4</xdr:row>
      <xdr:rowOff>9525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71E2C0C-F1DA-4D6F-8296-6FA487AA83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38200" cy="8382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206828</xdr:colOff>
      <xdr:row>5</xdr:row>
      <xdr:rowOff>174171</xdr:rowOff>
    </xdr:from>
    <xdr:to>
      <xdr:col>16</xdr:col>
      <xdr:colOff>468084</xdr:colOff>
      <xdr:row>8</xdr:row>
      <xdr:rowOff>34107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5B6D59E-65F5-48F7-A6AE-E75B283637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65971" y="1240971"/>
          <a:ext cx="914399" cy="51307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185057</xdr:colOff>
      <xdr:row>3</xdr:row>
      <xdr:rowOff>185057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FA96E7E-D17E-4BA0-95C6-DAFA8DFFAC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38200" cy="8382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239485</xdr:colOff>
      <xdr:row>6</xdr:row>
      <xdr:rowOff>0</xdr:rowOff>
    </xdr:from>
    <xdr:to>
      <xdr:col>16</xdr:col>
      <xdr:colOff>500741</xdr:colOff>
      <xdr:row>8</xdr:row>
      <xdr:rowOff>77650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8A4AA52-E1ED-4296-A2A1-066387B560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8628" y="1284514"/>
          <a:ext cx="914399" cy="51307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185057</xdr:colOff>
      <xdr:row>3</xdr:row>
      <xdr:rowOff>185057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46F1BC6-37DD-4BC5-8D91-FA5482BC0A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38200" cy="8382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160020</xdr:colOff>
      <xdr:row>0</xdr:row>
      <xdr:rowOff>45720</xdr:rowOff>
    </xdr:from>
    <xdr:to>
      <xdr:col>1</xdr:col>
      <xdr:colOff>499110</xdr:colOff>
      <xdr:row>2</xdr:row>
      <xdr:rowOff>182880</xdr:rowOff>
    </xdr:to>
    <xdr:pic>
      <xdr:nvPicPr>
        <xdr:cNvPr id="2" name="Picture 16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0020" y="45720"/>
          <a:ext cx="582930" cy="5486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640080</xdr:colOff>
      <xdr:row>8</xdr:row>
      <xdr:rowOff>76200</xdr:rowOff>
    </xdr:from>
    <xdr:to>
      <xdr:col>5</xdr:col>
      <xdr:colOff>328295</xdr:colOff>
      <xdr:row>17</xdr:row>
      <xdr:rowOff>161290</xdr:rowOff>
    </xdr:to>
    <xdr:pic>
      <xdr:nvPicPr>
        <xdr:cNvPr id="3" name="Picture 2" descr="z4859621558652_24bae993a725e9b340992f23d3c6bf47_preview_rev_1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00200" y="1645920"/>
          <a:ext cx="1661795" cy="1862455"/>
        </a:xfrm>
        <a:prstGeom prst="rect">
          <a:avLst/>
        </a:prstGeom>
        <a:noFill/>
        <a:ln w="12700" cmpd="sng">
          <a:noFill/>
          <a:prstDash val="solid"/>
        </a:ln>
        <a:effectLst>
          <a:outerShdw dir="7200000" algn="ctr" rotWithShape="0">
            <a:srgbClr val="002060">
              <a:alpha val="100000"/>
            </a:srgbClr>
          </a:outerShdw>
          <a:reflection blurRad="1270000" stA="45000" endPos="65000" dir="5400000" sy="-100000" algn="bl" rotWithShape="0"/>
        </a:effectLst>
        <a:scene3d>
          <a:camera prst="orthographicFront">
            <a:rot lat="0" lon="0" rev="0"/>
          </a:camera>
          <a:lightRig rig="threePt" dir="t"/>
        </a:scene3d>
        <a:sp3d extrusionH="228600" prstMaterial="metal">
          <a:contourClr>
            <a:schemeClr val="bg1"/>
          </a:contourClr>
        </a:sp3d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0</xdr:row>
      <xdr:rowOff>45720</xdr:rowOff>
    </xdr:from>
    <xdr:to>
      <xdr:col>1</xdr:col>
      <xdr:colOff>529590</xdr:colOff>
      <xdr:row>2</xdr:row>
      <xdr:rowOff>182880</xdr:rowOff>
    </xdr:to>
    <xdr:pic>
      <xdr:nvPicPr>
        <xdr:cNvPr id="2" name="Picture 16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0500" y="45720"/>
          <a:ext cx="582930" cy="5486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647700</xdr:colOff>
      <xdr:row>8</xdr:row>
      <xdr:rowOff>76200</xdr:rowOff>
    </xdr:from>
    <xdr:to>
      <xdr:col>5</xdr:col>
      <xdr:colOff>335915</xdr:colOff>
      <xdr:row>17</xdr:row>
      <xdr:rowOff>161290</xdr:rowOff>
    </xdr:to>
    <xdr:pic>
      <xdr:nvPicPr>
        <xdr:cNvPr id="3" name="Picture 2" descr="z4859621558652_24bae993a725e9b340992f23d3c6bf47_preview_rev_1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07820" y="1645920"/>
          <a:ext cx="1661795" cy="1862455"/>
        </a:xfrm>
        <a:prstGeom prst="rect">
          <a:avLst/>
        </a:prstGeom>
        <a:noFill/>
        <a:ln w="12700" cmpd="sng">
          <a:noFill/>
          <a:prstDash val="solid"/>
        </a:ln>
        <a:effectLst>
          <a:outerShdw dir="7200000" algn="ctr" rotWithShape="0">
            <a:srgbClr val="002060">
              <a:alpha val="100000"/>
            </a:srgbClr>
          </a:outerShdw>
          <a:reflection blurRad="1270000" stA="45000" endPos="65000" dir="5400000" sy="-100000" algn="bl" rotWithShape="0"/>
        </a:effectLst>
        <a:scene3d>
          <a:camera prst="orthographicFront">
            <a:rot lat="0" lon="0" rev="0"/>
          </a:camera>
          <a:lightRig rig="threePt" dir="t"/>
        </a:scene3d>
        <a:sp3d extrusionH="228600" prstMaterial="metal">
          <a:contourClr>
            <a:schemeClr val="bg1"/>
          </a:contourClr>
        </a:sp3d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0</xdr:row>
      <xdr:rowOff>45720</xdr:rowOff>
    </xdr:from>
    <xdr:to>
      <xdr:col>1</xdr:col>
      <xdr:colOff>529590</xdr:colOff>
      <xdr:row>2</xdr:row>
      <xdr:rowOff>182880</xdr:rowOff>
    </xdr:to>
    <xdr:pic>
      <xdr:nvPicPr>
        <xdr:cNvPr id="2" name="Picture 16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0500" y="45720"/>
          <a:ext cx="582930" cy="5486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647700</xdr:colOff>
      <xdr:row>8</xdr:row>
      <xdr:rowOff>60960</xdr:rowOff>
    </xdr:from>
    <xdr:to>
      <xdr:col>5</xdr:col>
      <xdr:colOff>335915</xdr:colOff>
      <xdr:row>17</xdr:row>
      <xdr:rowOff>146050</xdr:rowOff>
    </xdr:to>
    <xdr:pic>
      <xdr:nvPicPr>
        <xdr:cNvPr id="3" name="Picture 2" descr="z4859621558652_24bae993a725e9b340992f23d3c6bf47_preview_rev_1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07820" y="1630680"/>
          <a:ext cx="1661795" cy="1862455"/>
        </a:xfrm>
        <a:prstGeom prst="rect">
          <a:avLst/>
        </a:prstGeom>
        <a:noFill/>
        <a:ln w="12700" cmpd="sng">
          <a:noFill/>
          <a:prstDash val="solid"/>
        </a:ln>
        <a:effectLst>
          <a:outerShdw dir="7200000" algn="ctr" rotWithShape="0">
            <a:srgbClr val="002060">
              <a:alpha val="100000"/>
            </a:srgbClr>
          </a:outerShdw>
          <a:reflection blurRad="1270000" stA="45000" endPos="65000" dir="5400000" sy="-100000" algn="bl" rotWithShape="0"/>
        </a:effectLst>
        <a:scene3d>
          <a:camera prst="orthographicFront">
            <a:rot lat="0" lon="0" rev="0"/>
          </a:camera>
          <a:lightRig rig="threePt" dir="t"/>
        </a:scene3d>
        <a:sp3d extrusionH="228600" prstMaterial="metal">
          <a:contourClr>
            <a:schemeClr val="bg1"/>
          </a:contourClr>
        </a:sp3d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628650</xdr:colOff>
      <xdr:row>51</xdr:row>
      <xdr:rowOff>53340</xdr:rowOff>
    </xdr:from>
    <xdr:to>
      <xdr:col>3</xdr:col>
      <xdr:colOff>172647</xdr:colOff>
      <xdr:row>54</xdr:row>
      <xdr:rowOff>113029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A8AC03F-C4DD-4688-94B9-0D23C1D3DB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2970" y="12694920"/>
          <a:ext cx="1327077" cy="74548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</xdr:row>
      <xdr:rowOff>182880</xdr:rowOff>
    </xdr:from>
    <xdr:to>
      <xdr:col>16</xdr:col>
      <xdr:colOff>403227</xdr:colOff>
      <xdr:row>47</xdr:row>
      <xdr:rowOff>365761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D7219A1-5DCA-6FF1-5196-7C1D3869E3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-575627" y="1002347"/>
          <a:ext cx="11125201" cy="99739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419100</xdr:colOff>
      <xdr:row>11</xdr:row>
      <xdr:rowOff>114300</xdr:rowOff>
    </xdr:from>
    <xdr:to>
      <xdr:col>4</xdr:col>
      <xdr:colOff>425813</xdr:colOff>
      <xdr:row>13</xdr:row>
      <xdr:rowOff>40639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A4515AC-9CBF-4976-9E32-688CF47FE8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6960" y="2255520"/>
          <a:ext cx="547733" cy="307339"/>
        </a:xfrm>
        <a:prstGeom prst="rect">
          <a:avLst/>
        </a:prstGeom>
      </xdr:spPr>
    </xdr:pic>
    <xdr:clientData/>
  </xdr:twoCellAnchor>
  <xdr:twoCellAnchor editAs="oneCell">
    <xdr:from>
      <xdr:col>0</xdr:col>
      <xdr:colOff>99060</xdr:colOff>
      <xdr:row>0</xdr:row>
      <xdr:rowOff>0</xdr:rowOff>
    </xdr:from>
    <xdr:to>
      <xdr:col>1</xdr:col>
      <xdr:colOff>609600</xdr:colOff>
      <xdr:row>3</xdr:row>
      <xdr:rowOff>137160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A594147-5E74-4BBB-817F-3A26B1C698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" y="0"/>
          <a:ext cx="754380" cy="75438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487680</xdr:colOff>
      <xdr:row>11</xdr:row>
      <xdr:rowOff>99060</xdr:rowOff>
    </xdr:from>
    <xdr:to>
      <xdr:col>5</xdr:col>
      <xdr:colOff>29573</xdr:colOff>
      <xdr:row>13</xdr:row>
      <xdr:rowOff>25399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396294B-C74A-4089-BC28-ED12DB3A75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5540" y="2240280"/>
          <a:ext cx="547733" cy="307339"/>
        </a:xfrm>
        <a:prstGeom prst="rect">
          <a:avLst/>
        </a:prstGeom>
      </xdr:spPr>
    </xdr:pic>
    <xdr:clientData/>
  </xdr:twoCellAnchor>
  <xdr:twoCellAnchor editAs="oneCell">
    <xdr:from>
      <xdr:col>0</xdr:col>
      <xdr:colOff>99060</xdr:colOff>
      <xdr:row>0</xdr:row>
      <xdr:rowOff>0</xdr:rowOff>
    </xdr:from>
    <xdr:to>
      <xdr:col>1</xdr:col>
      <xdr:colOff>609600</xdr:colOff>
      <xdr:row>3</xdr:row>
      <xdr:rowOff>137160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8809C4B-1D4D-4018-921D-95EB7ED635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" y="0"/>
          <a:ext cx="754380" cy="75438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266700</xdr:colOff>
      <xdr:row>11</xdr:row>
      <xdr:rowOff>114300</xdr:rowOff>
    </xdr:from>
    <xdr:to>
      <xdr:col>4</xdr:col>
      <xdr:colOff>273413</xdr:colOff>
      <xdr:row>13</xdr:row>
      <xdr:rowOff>40639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E85A241-0395-4DDE-8776-772F589939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62200" y="2255520"/>
          <a:ext cx="547733" cy="307339"/>
        </a:xfrm>
        <a:prstGeom prst="rect">
          <a:avLst/>
        </a:prstGeom>
      </xdr:spPr>
    </xdr:pic>
    <xdr:clientData/>
  </xdr:twoCellAnchor>
  <xdr:twoCellAnchor editAs="oneCell">
    <xdr:from>
      <xdr:col>0</xdr:col>
      <xdr:colOff>160020</xdr:colOff>
      <xdr:row>0</xdr:row>
      <xdr:rowOff>0</xdr:rowOff>
    </xdr:from>
    <xdr:to>
      <xdr:col>1</xdr:col>
      <xdr:colOff>670560</xdr:colOff>
      <xdr:row>3</xdr:row>
      <xdr:rowOff>137160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C7AED05-6EF5-4D64-B607-0FE9F8FB00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0"/>
          <a:ext cx="754380" cy="75438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457200</xdr:colOff>
      <xdr:row>11</xdr:row>
      <xdr:rowOff>129540</xdr:rowOff>
    </xdr:from>
    <xdr:to>
      <xdr:col>4</xdr:col>
      <xdr:colOff>463913</xdr:colOff>
      <xdr:row>13</xdr:row>
      <xdr:rowOff>55879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D6CD1EE-1541-46E2-A6B4-16033F7C9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5060" y="2270760"/>
          <a:ext cx="547733" cy="307339"/>
        </a:xfrm>
        <a:prstGeom prst="rect">
          <a:avLst/>
        </a:prstGeom>
      </xdr:spPr>
    </xdr:pic>
    <xdr:clientData/>
  </xdr:twoCellAnchor>
  <xdr:twoCellAnchor editAs="oneCell">
    <xdr:from>
      <xdr:col>0</xdr:col>
      <xdr:colOff>99060</xdr:colOff>
      <xdr:row>0</xdr:row>
      <xdr:rowOff>0</xdr:rowOff>
    </xdr:from>
    <xdr:to>
      <xdr:col>1</xdr:col>
      <xdr:colOff>609600</xdr:colOff>
      <xdr:row>3</xdr:row>
      <xdr:rowOff>137160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1670804-4759-448F-80C3-E976ED161C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" y="0"/>
          <a:ext cx="754380" cy="75438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449580</xdr:colOff>
      <xdr:row>11</xdr:row>
      <xdr:rowOff>114300</xdr:rowOff>
    </xdr:from>
    <xdr:to>
      <xdr:col>4</xdr:col>
      <xdr:colOff>456293</xdr:colOff>
      <xdr:row>13</xdr:row>
      <xdr:rowOff>40639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EB9A151-15C6-4234-97FD-7D3D9A3BD4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77440" y="2255520"/>
          <a:ext cx="547733" cy="307339"/>
        </a:xfrm>
        <a:prstGeom prst="rect">
          <a:avLst/>
        </a:prstGeom>
      </xdr:spPr>
    </xdr:pic>
    <xdr:clientData/>
  </xdr:twoCellAnchor>
  <xdr:twoCellAnchor editAs="oneCell">
    <xdr:from>
      <xdr:col>0</xdr:col>
      <xdr:colOff>91440</xdr:colOff>
      <xdr:row>0</xdr:row>
      <xdr:rowOff>0</xdr:rowOff>
    </xdr:from>
    <xdr:to>
      <xdr:col>1</xdr:col>
      <xdr:colOff>601980</xdr:colOff>
      <xdr:row>3</xdr:row>
      <xdr:rowOff>137160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66ECCC7-76C0-45B5-8707-321202BBE3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" y="0"/>
          <a:ext cx="754380" cy="75438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419100</xdr:colOff>
      <xdr:row>11</xdr:row>
      <xdr:rowOff>121920</xdr:rowOff>
    </xdr:from>
    <xdr:to>
      <xdr:col>4</xdr:col>
      <xdr:colOff>425813</xdr:colOff>
      <xdr:row>13</xdr:row>
      <xdr:rowOff>48259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816111C-183E-4FFC-9D9A-2A0F58203F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6960" y="2263140"/>
          <a:ext cx="547733" cy="307339"/>
        </a:xfrm>
        <a:prstGeom prst="rect">
          <a:avLst/>
        </a:prstGeom>
      </xdr:spPr>
    </xdr:pic>
    <xdr:clientData/>
  </xdr:twoCellAnchor>
  <xdr:twoCellAnchor editAs="oneCell">
    <xdr:from>
      <xdr:col>0</xdr:col>
      <xdr:colOff>114300</xdr:colOff>
      <xdr:row>0</xdr:row>
      <xdr:rowOff>0</xdr:rowOff>
    </xdr:from>
    <xdr:to>
      <xdr:col>1</xdr:col>
      <xdr:colOff>624840</xdr:colOff>
      <xdr:row>3</xdr:row>
      <xdr:rowOff>137160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4BB8BFE-4334-4A0B-864E-8631821483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0"/>
          <a:ext cx="754380" cy="75438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45</xdr:row>
      <xdr:rowOff>121452</xdr:rowOff>
    </xdr:from>
    <xdr:to>
      <xdr:col>12</xdr:col>
      <xdr:colOff>20956</xdr:colOff>
      <xdr:row>55</xdr:row>
      <xdr:rowOff>175427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350885"/>
          <a:ext cx="7427595" cy="1882775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959224</xdr:colOff>
      <xdr:row>11</xdr:row>
      <xdr:rowOff>224119</xdr:rowOff>
    </xdr:from>
    <xdr:to>
      <xdr:col>3</xdr:col>
      <xdr:colOff>1506957</xdr:colOff>
      <xdr:row>13</xdr:row>
      <xdr:rowOff>65293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EC8138A-201A-4F52-BFF4-1EC7CB1BBD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05200" y="2626660"/>
          <a:ext cx="547733" cy="307339"/>
        </a:xfrm>
        <a:prstGeom prst="rect">
          <a:avLst/>
        </a:prstGeom>
      </xdr:spPr>
    </xdr:pic>
    <xdr:clientData/>
  </xdr:twoCellAnchor>
  <xdr:twoCellAnchor editAs="oneCell">
    <xdr:from>
      <xdr:col>1</xdr:col>
      <xdr:colOff>53788</xdr:colOff>
      <xdr:row>0</xdr:row>
      <xdr:rowOff>0</xdr:rowOff>
    </xdr:from>
    <xdr:to>
      <xdr:col>1</xdr:col>
      <xdr:colOff>808168</xdr:colOff>
      <xdr:row>3</xdr:row>
      <xdr:rowOff>28239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B494D5B-6873-4E6F-B0EE-FA17DEA749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1694" y="0"/>
          <a:ext cx="754380" cy="75438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</xdr:colOff>
      <xdr:row>0</xdr:row>
      <xdr:rowOff>45720</xdr:rowOff>
    </xdr:from>
    <xdr:to>
      <xdr:col>1</xdr:col>
      <xdr:colOff>739775</xdr:colOff>
      <xdr:row>2</xdr:row>
      <xdr:rowOff>182245</xdr:rowOff>
    </xdr:to>
    <xdr:pic>
      <xdr:nvPicPr>
        <xdr:cNvPr id="2" name="Picture 16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37185" y="45720"/>
          <a:ext cx="680720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850900</xdr:colOff>
      <xdr:row>9</xdr:row>
      <xdr:rowOff>7620</xdr:rowOff>
    </xdr:from>
    <xdr:to>
      <xdr:col>4</xdr:col>
      <xdr:colOff>639445</xdr:colOff>
      <xdr:row>17</xdr:row>
      <xdr:rowOff>59690</xdr:rowOff>
    </xdr:to>
    <xdr:pic>
      <xdr:nvPicPr>
        <xdr:cNvPr id="3" name="Picture 2" descr="z4859621558652_24bae993a725e9b340992f23d3c6bf47_preview_rev_1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58695" y="1943100"/>
          <a:ext cx="1778635" cy="1986915"/>
        </a:xfrm>
        <a:prstGeom prst="rect">
          <a:avLst/>
        </a:prstGeom>
        <a:noFill/>
        <a:ln w="12700" cmpd="sng">
          <a:noFill/>
          <a:prstDash val="solid"/>
        </a:ln>
        <a:effectLst>
          <a:outerShdw dir="7200000" algn="ctr" rotWithShape="0">
            <a:srgbClr val="002060">
              <a:alpha val="100000"/>
            </a:srgbClr>
          </a:outerShdw>
          <a:reflection blurRad="1270000" stA="45000" endPos="65000" dir="5400000" sy="-100000" algn="bl" rotWithShape="0"/>
        </a:effectLst>
        <a:scene3d>
          <a:camera prst="orthographicFront">
            <a:rot lat="0" lon="0" rev="0"/>
          </a:camera>
          <a:lightRig rig="threePt" dir="t"/>
        </a:scene3d>
        <a:sp3d extrusionH="228600" prstMaterial="metal">
          <a:contourClr>
            <a:schemeClr val="bg1"/>
          </a:contourClr>
        </a:sp3d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609600</xdr:colOff>
      <xdr:row>11</xdr:row>
      <xdr:rowOff>188260</xdr:rowOff>
    </xdr:from>
    <xdr:to>
      <xdr:col>5</xdr:col>
      <xdr:colOff>538769</xdr:colOff>
      <xdr:row>13</xdr:row>
      <xdr:rowOff>29435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216CB4B-85D1-4E83-AA77-4A8D20BA82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61765" y="2554942"/>
          <a:ext cx="547733" cy="307339"/>
        </a:xfrm>
        <a:prstGeom prst="rect">
          <a:avLst/>
        </a:prstGeom>
      </xdr:spPr>
    </xdr:pic>
    <xdr:clientData/>
  </xdr:twoCellAnchor>
  <xdr:twoCellAnchor editAs="oneCell">
    <xdr:from>
      <xdr:col>1</xdr:col>
      <xdr:colOff>107577</xdr:colOff>
      <xdr:row>0</xdr:row>
      <xdr:rowOff>0</xdr:rowOff>
    </xdr:from>
    <xdr:to>
      <xdr:col>1</xdr:col>
      <xdr:colOff>861957</xdr:colOff>
      <xdr:row>3</xdr:row>
      <xdr:rowOff>55133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10EF27D-DEB1-4769-B2C1-D93E58712A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5483" y="0"/>
          <a:ext cx="754380" cy="75438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1335741</xdr:colOff>
      <xdr:row>11</xdr:row>
      <xdr:rowOff>197224</xdr:rowOff>
    </xdr:from>
    <xdr:to>
      <xdr:col>4</xdr:col>
      <xdr:colOff>216039</xdr:colOff>
      <xdr:row>13</xdr:row>
      <xdr:rowOff>38399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4E1E9C0-1931-4C0C-AB02-215DE4271E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27294" y="2563906"/>
          <a:ext cx="547733" cy="307339"/>
        </a:xfrm>
        <a:prstGeom prst="rect">
          <a:avLst/>
        </a:prstGeom>
      </xdr:spPr>
    </xdr:pic>
    <xdr:clientData/>
  </xdr:twoCellAnchor>
  <xdr:twoCellAnchor editAs="oneCell">
    <xdr:from>
      <xdr:col>1</xdr:col>
      <xdr:colOff>35859</xdr:colOff>
      <xdr:row>0</xdr:row>
      <xdr:rowOff>0</xdr:rowOff>
    </xdr:from>
    <xdr:to>
      <xdr:col>1</xdr:col>
      <xdr:colOff>790239</xdr:colOff>
      <xdr:row>3</xdr:row>
      <xdr:rowOff>55133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D4785E4-3649-40B1-84D2-5AAAA6691E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3765" y="0"/>
          <a:ext cx="754380" cy="75438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8965</xdr:colOff>
      <xdr:row>11</xdr:row>
      <xdr:rowOff>197225</xdr:rowOff>
    </xdr:from>
    <xdr:to>
      <xdr:col>4</xdr:col>
      <xdr:colOff>556698</xdr:colOff>
      <xdr:row>13</xdr:row>
      <xdr:rowOff>38400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D2F7B3E-20BA-4583-A9B8-B858ABCB87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67318" y="2563907"/>
          <a:ext cx="547733" cy="307339"/>
        </a:xfrm>
        <a:prstGeom prst="rect">
          <a:avLst/>
        </a:prstGeom>
      </xdr:spPr>
    </xdr:pic>
    <xdr:clientData/>
  </xdr:twoCellAnchor>
  <xdr:twoCellAnchor editAs="oneCell">
    <xdr:from>
      <xdr:col>1</xdr:col>
      <xdr:colOff>8965</xdr:colOff>
      <xdr:row>0</xdr:row>
      <xdr:rowOff>0</xdr:rowOff>
    </xdr:from>
    <xdr:to>
      <xdr:col>1</xdr:col>
      <xdr:colOff>763345</xdr:colOff>
      <xdr:row>3</xdr:row>
      <xdr:rowOff>55133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7B2EE41-C59A-4F11-8045-5222B4C769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6871" y="0"/>
          <a:ext cx="754380" cy="75438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89646</xdr:colOff>
      <xdr:row>11</xdr:row>
      <xdr:rowOff>161366</xdr:rowOff>
    </xdr:from>
    <xdr:to>
      <xdr:col>4</xdr:col>
      <xdr:colOff>637379</xdr:colOff>
      <xdr:row>13</xdr:row>
      <xdr:rowOff>2541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84D81F1-218B-4E6C-84D8-C93EDC9789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2470" y="2528048"/>
          <a:ext cx="547733" cy="307339"/>
        </a:xfrm>
        <a:prstGeom prst="rect">
          <a:avLst/>
        </a:prstGeom>
      </xdr:spPr>
    </xdr:pic>
    <xdr:clientData/>
  </xdr:twoCellAnchor>
  <xdr:twoCellAnchor editAs="oneCell">
    <xdr:from>
      <xdr:col>1</xdr:col>
      <xdr:colOff>206188</xdr:colOff>
      <xdr:row>0</xdr:row>
      <xdr:rowOff>0</xdr:rowOff>
    </xdr:from>
    <xdr:to>
      <xdr:col>1</xdr:col>
      <xdr:colOff>960568</xdr:colOff>
      <xdr:row>3</xdr:row>
      <xdr:rowOff>55133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4FC4755-411E-4DA0-807D-542A7A1455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4094" y="0"/>
          <a:ext cx="754380" cy="75438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681318</xdr:colOff>
      <xdr:row>11</xdr:row>
      <xdr:rowOff>215154</xdr:rowOff>
    </xdr:from>
    <xdr:to>
      <xdr:col>4</xdr:col>
      <xdr:colOff>207075</xdr:colOff>
      <xdr:row>13</xdr:row>
      <xdr:rowOff>56329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79FBD92-42BA-455F-9C92-92B968726A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0753" y="2581836"/>
          <a:ext cx="547733" cy="307339"/>
        </a:xfrm>
        <a:prstGeom prst="rect">
          <a:avLst/>
        </a:prstGeom>
      </xdr:spPr>
    </xdr:pic>
    <xdr:clientData/>
  </xdr:twoCellAnchor>
  <xdr:twoCellAnchor editAs="oneCell">
    <xdr:from>
      <xdr:col>0</xdr:col>
      <xdr:colOff>268941</xdr:colOff>
      <xdr:row>0</xdr:row>
      <xdr:rowOff>0</xdr:rowOff>
    </xdr:from>
    <xdr:to>
      <xdr:col>1</xdr:col>
      <xdr:colOff>745415</xdr:colOff>
      <xdr:row>3</xdr:row>
      <xdr:rowOff>55133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D9A3349-2C0C-4283-804F-DCB171C7A4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8941" y="0"/>
          <a:ext cx="754380" cy="75438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L-PLANING\PSX\VITEC%20-%20Bao%20IBST%2025Kg\LSX%20-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L-PLANING\PLANING\Th&#432;%20mu&#803;c%20m&#417;&#769;i\HIGH%20TECH%20PHARMA%2010kg%20Green%20-%20Sao%20ch&#233;p\PSX%20-%20HIGH%20TECH%20PHARMA%2010kg%20Gree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"/>
      <sheetName val="Chia cuộn"/>
      <sheetName val="Ghép"/>
      <sheetName val="Bồi"/>
      <sheetName val="Tráng"/>
      <sheetName val="Tuýp"/>
      <sheetName val="Dán"/>
      <sheetName val="Thổi"/>
      <sheetName val="May"/>
      <sheetName val="Đóng gói"/>
    </sheetNames>
    <sheetDataSet>
      <sheetData sheetId="0">
        <row r="5">
          <cell r="J5" t="str">
            <v>SX2311007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ệt mành"/>
      <sheetName val="In"/>
      <sheetName val="Thổi - cắt"/>
      <sheetName val="Tráng"/>
      <sheetName val="Dán"/>
      <sheetName val="May"/>
    </sheetNames>
    <sheetDataSet>
      <sheetData sheetId="0">
        <row r="8">
          <cell r="J8" t="str">
            <v>…..h…..;….../….../2023</v>
          </cell>
        </row>
        <row r="9">
          <cell r="J9" t="str">
            <v>…..h…..;….../….../2023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pageSetUpPr fitToPage="1"/>
  </sheetPr>
  <dimension ref="A1:AA48"/>
  <sheetViews>
    <sheetView tabSelected="1" view="pageBreakPreview" topLeftCell="A3" zoomScale="70" zoomScaleNormal="70" zoomScalePageLayoutView="80" workbookViewId="0">
      <selection activeCell="C10" sqref="C10"/>
    </sheetView>
  </sheetViews>
  <sheetFormatPr defaultColWidth="8.88671875" defaultRowHeight="13.8"/>
  <cols>
    <col min="1" max="1" width="9.44140625" style="109" customWidth="1"/>
    <col min="2" max="2" width="6.109375" style="109" customWidth="1"/>
    <col min="3" max="3" width="23.44140625" style="109" customWidth="1"/>
    <col min="4" max="5" width="21.109375" style="109" customWidth="1"/>
    <col min="6" max="6" width="7.44140625" style="107" customWidth="1"/>
    <col min="7" max="7" width="10" style="109" customWidth="1"/>
    <col min="8" max="16" width="9.44140625" style="109" customWidth="1"/>
    <col min="17" max="17" width="10.109375" style="109" customWidth="1"/>
    <col min="18" max="18" width="18.33203125" style="109" customWidth="1"/>
    <col min="19" max="20" width="17.21875" style="109" customWidth="1"/>
    <col min="21" max="21" width="16.6640625" style="109" customWidth="1"/>
    <col min="22" max="22" width="25.77734375" style="109" customWidth="1"/>
    <col min="23" max="23" width="21.5546875" style="109" customWidth="1"/>
    <col min="24" max="25" width="25.77734375" style="109" customWidth="1"/>
    <col min="26" max="26" width="16.6640625" style="109" customWidth="1"/>
    <col min="27" max="16384" width="8.88671875" style="109"/>
  </cols>
  <sheetData>
    <row r="1" spans="1:25" ht="17.25" customHeight="1">
      <c r="A1" s="351" t="s">
        <v>0</v>
      </c>
      <c r="B1" s="352"/>
      <c r="C1" s="352"/>
      <c r="D1" s="352"/>
      <c r="E1" s="352"/>
      <c r="F1" s="352"/>
      <c r="G1" s="352"/>
      <c r="H1" s="352"/>
      <c r="I1" s="352"/>
      <c r="J1" s="352"/>
      <c r="K1" s="352"/>
      <c r="L1" s="352"/>
      <c r="M1" s="352"/>
      <c r="N1" s="352"/>
      <c r="O1" s="352"/>
      <c r="P1" s="352"/>
      <c r="Q1" s="353"/>
      <c r="R1" s="329" t="s">
        <v>1</v>
      </c>
      <c r="S1" s="330"/>
      <c r="T1" s="331"/>
    </row>
    <row r="2" spans="1:25" ht="17.25" customHeight="1">
      <c r="A2" s="354"/>
      <c r="B2" s="355"/>
      <c r="C2" s="355"/>
      <c r="D2" s="355"/>
      <c r="E2" s="355"/>
      <c r="F2" s="355"/>
      <c r="G2" s="355"/>
      <c r="H2" s="355"/>
      <c r="I2" s="355"/>
      <c r="J2" s="355"/>
      <c r="K2" s="355"/>
      <c r="L2" s="355"/>
      <c r="M2" s="355"/>
      <c r="N2" s="355"/>
      <c r="O2" s="355"/>
      <c r="P2" s="355"/>
      <c r="Q2" s="356"/>
      <c r="R2" s="332" t="s">
        <v>2</v>
      </c>
      <c r="S2" s="333"/>
      <c r="T2" s="334"/>
    </row>
    <row r="3" spans="1:25" ht="17.25" customHeight="1">
      <c r="A3" s="357"/>
      <c r="B3" s="358"/>
      <c r="C3" s="358"/>
      <c r="D3" s="358"/>
      <c r="E3" s="358"/>
      <c r="F3" s="358"/>
      <c r="G3" s="358"/>
      <c r="H3" s="358"/>
      <c r="I3" s="358"/>
      <c r="J3" s="358"/>
      <c r="K3" s="358"/>
      <c r="L3" s="358"/>
      <c r="M3" s="358"/>
      <c r="N3" s="358"/>
      <c r="O3" s="358"/>
      <c r="P3" s="358"/>
      <c r="Q3" s="359"/>
      <c r="R3" s="335" t="s">
        <v>3</v>
      </c>
      <c r="S3" s="336"/>
      <c r="T3" s="337"/>
    </row>
    <row r="4" spans="1:25" ht="15.75" customHeight="1" thickBot="1">
      <c r="A4" s="338"/>
      <c r="B4" s="338"/>
      <c r="C4" s="110"/>
      <c r="D4" s="110"/>
      <c r="E4" s="110"/>
      <c r="F4" s="110"/>
      <c r="H4" s="111"/>
      <c r="I4" s="111"/>
      <c r="J4" s="111"/>
      <c r="K4" s="111"/>
      <c r="L4" s="111"/>
      <c r="M4" s="111"/>
      <c r="N4" s="111"/>
      <c r="O4" s="111"/>
      <c r="P4" s="339"/>
      <c r="Q4" s="339"/>
      <c r="R4" s="339"/>
      <c r="S4" s="339"/>
      <c r="T4" s="339"/>
      <c r="U4" s="111"/>
      <c r="V4" s="338"/>
      <c r="W4" s="338"/>
    </row>
    <row r="5" spans="1:25" s="91" customFormat="1" ht="16.95" customHeight="1">
      <c r="A5" s="340" t="s">
        <v>4</v>
      </c>
      <c r="B5" s="341"/>
      <c r="C5" s="342"/>
      <c r="D5" s="343"/>
      <c r="E5" s="343"/>
      <c r="F5" s="343"/>
      <c r="G5" s="344"/>
      <c r="I5" s="345" t="s">
        <v>5</v>
      </c>
      <c r="J5" s="346"/>
      <c r="K5" s="346" t="s">
        <v>6</v>
      </c>
      <c r="L5" s="346"/>
      <c r="M5" s="346" t="s">
        <v>7</v>
      </c>
      <c r="N5" s="347"/>
      <c r="P5" s="348" t="s">
        <v>8</v>
      </c>
      <c r="Q5" s="349"/>
      <c r="R5" s="349"/>
      <c r="S5" s="349" t="s">
        <v>9</v>
      </c>
      <c r="T5" s="350"/>
      <c r="U5" s="112"/>
      <c r="V5" s="113" t="s">
        <v>361</v>
      </c>
      <c r="W5" s="113" t="s">
        <v>390</v>
      </c>
      <c r="X5" s="113" t="s">
        <v>389</v>
      </c>
      <c r="Y5" s="113" t="s">
        <v>404</v>
      </c>
    </row>
    <row r="6" spans="1:25" s="91" customFormat="1" ht="16.95" customHeight="1">
      <c r="A6" s="360" t="s">
        <v>10</v>
      </c>
      <c r="B6" s="361"/>
      <c r="C6" s="362"/>
      <c r="D6" s="363"/>
      <c r="E6" s="363"/>
      <c r="F6" s="363"/>
      <c r="G6" s="364"/>
      <c r="I6" s="365" t="s">
        <v>11</v>
      </c>
      <c r="J6" s="366"/>
      <c r="K6" s="367" t="s">
        <v>12</v>
      </c>
      <c r="L6" s="367"/>
      <c r="M6" s="368"/>
      <c r="N6" s="369"/>
      <c r="P6" s="370" t="s">
        <v>13</v>
      </c>
      <c r="Q6" s="371"/>
      <c r="R6" s="114" t="s">
        <v>14</v>
      </c>
      <c r="S6" s="114" t="s">
        <v>15</v>
      </c>
      <c r="T6" s="115" t="s">
        <v>14</v>
      </c>
      <c r="U6" s="112"/>
      <c r="V6" s="111"/>
      <c r="W6" s="111"/>
    </row>
    <row r="7" spans="1:25" s="91" customFormat="1" ht="16.95" customHeight="1">
      <c r="A7" s="360" t="s">
        <v>16</v>
      </c>
      <c r="B7" s="361"/>
      <c r="C7" s="362"/>
      <c r="D7" s="363"/>
      <c r="E7" s="363"/>
      <c r="F7" s="363"/>
      <c r="G7" s="364"/>
      <c r="I7" s="365" t="s">
        <v>17</v>
      </c>
      <c r="J7" s="366"/>
      <c r="K7" s="367" t="s">
        <v>18</v>
      </c>
      <c r="L7" s="367"/>
      <c r="M7" s="372"/>
      <c r="N7" s="373"/>
      <c r="P7" s="435"/>
      <c r="Q7" s="436"/>
      <c r="R7" s="418"/>
      <c r="S7" s="418"/>
      <c r="T7" s="427"/>
      <c r="U7" s="111"/>
      <c r="V7" s="111"/>
      <c r="W7" s="111"/>
    </row>
    <row r="8" spans="1:25" s="91" customFormat="1" ht="16.95" customHeight="1">
      <c r="A8" s="360" t="s">
        <v>19</v>
      </c>
      <c r="B8" s="361"/>
      <c r="C8" s="374"/>
      <c r="D8" s="375"/>
      <c r="E8" s="375"/>
      <c r="F8" s="375"/>
      <c r="G8" s="376"/>
      <c r="I8" s="365" t="s">
        <v>20</v>
      </c>
      <c r="J8" s="366"/>
      <c r="K8" s="367" t="s">
        <v>18</v>
      </c>
      <c r="L8" s="367"/>
      <c r="M8" s="377"/>
      <c r="N8" s="378"/>
      <c r="P8" s="437"/>
      <c r="Q8" s="438"/>
      <c r="R8" s="419"/>
      <c r="S8" s="419"/>
      <c r="T8" s="428"/>
      <c r="U8" s="111"/>
      <c r="V8" s="111"/>
      <c r="W8" s="111"/>
    </row>
    <row r="9" spans="1:25" s="91" customFormat="1" ht="16.95" customHeight="1">
      <c r="A9" s="379" t="s">
        <v>21</v>
      </c>
      <c r="B9" s="380"/>
      <c r="C9" s="381"/>
      <c r="D9" s="382"/>
      <c r="E9" s="382"/>
      <c r="F9" s="382"/>
      <c r="G9" s="383"/>
      <c r="I9" s="365" t="s">
        <v>22</v>
      </c>
      <c r="J9" s="366"/>
      <c r="K9" s="367" t="s">
        <v>18</v>
      </c>
      <c r="L9" s="367"/>
      <c r="M9" s="368"/>
      <c r="N9" s="369"/>
      <c r="P9" s="405" t="s">
        <v>358</v>
      </c>
      <c r="Q9" s="439"/>
      <c r="R9" s="116" t="s">
        <v>358</v>
      </c>
      <c r="S9" s="116"/>
      <c r="T9" s="117"/>
      <c r="U9" s="111"/>
      <c r="V9" s="111"/>
      <c r="W9" s="111"/>
    </row>
    <row r="10" spans="1:25" s="91" customFormat="1" ht="16.95" customHeight="1">
      <c r="A10" s="93"/>
      <c r="B10" s="93"/>
      <c r="C10" s="93"/>
      <c r="D10" s="93"/>
      <c r="E10" s="93"/>
      <c r="F10" s="93"/>
      <c r="G10" s="93"/>
      <c r="I10" s="384" t="s">
        <v>24</v>
      </c>
      <c r="J10" s="385"/>
      <c r="K10" s="368" t="s">
        <v>25</v>
      </c>
      <c r="L10" s="386"/>
      <c r="M10" s="368"/>
      <c r="N10" s="369"/>
      <c r="U10" s="111"/>
      <c r="V10" s="111"/>
      <c r="W10" s="111"/>
    </row>
    <row r="11" spans="1:25" s="91" customFormat="1" ht="16.95" customHeight="1">
      <c r="A11" s="93"/>
      <c r="B11" s="93"/>
      <c r="C11" s="111"/>
      <c r="D11" s="107"/>
      <c r="E11" s="107"/>
      <c r="F11" s="107"/>
      <c r="G11" s="107"/>
      <c r="I11" s="365" t="s">
        <v>26</v>
      </c>
      <c r="J11" s="366"/>
      <c r="K11" s="367" t="s">
        <v>18</v>
      </c>
      <c r="L11" s="367"/>
      <c r="M11" s="372"/>
      <c r="N11" s="373"/>
      <c r="U11" s="111"/>
      <c r="V11" s="111"/>
      <c r="W11" s="111"/>
    </row>
    <row r="12" spans="1:25" s="91" customFormat="1" ht="16.95" customHeight="1">
      <c r="A12" s="93"/>
      <c r="B12" s="93"/>
      <c r="C12" s="111"/>
      <c r="D12" s="107"/>
      <c r="E12" s="107"/>
      <c r="F12" s="107"/>
      <c r="G12" s="107"/>
      <c r="I12" s="365" t="s">
        <v>27</v>
      </c>
      <c r="J12" s="366"/>
      <c r="K12" s="367" t="s">
        <v>18</v>
      </c>
      <c r="L12" s="367"/>
      <c r="M12" s="372"/>
      <c r="N12" s="373"/>
      <c r="P12" s="118"/>
      <c r="U12" s="111"/>
      <c r="V12" s="111"/>
      <c r="W12" s="111"/>
    </row>
    <row r="13" spans="1:25" s="91" customFormat="1" ht="16.95" customHeight="1">
      <c r="A13" s="93"/>
      <c r="B13" s="93"/>
      <c r="C13" s="111"/>
      <c r="D13" s="107"/>
      <c r="E13" s="107"/>
      <c r="F13" s="107"/>
      <c r="G13" s="107"/>
      <c r="I13" s="365" t="s">
        <v>28</v>
      </c>
      <c r="J13" s="366"/>
      <c r="K13" s="367" t="s">
        <v>18</v>
      </c>
      <c r="L13" s="367"/>
      <c r="M13" s="372"/>
      <c r="N13" s="373"/>
      <c r="U13" s="111"/>
      <c r="V13" s="111"/>
      <c r="W13" s="111"/>
    </row>
    <row r="14" spans="1:25" s="91" customFormat="1" ht="16.95" customHeight="1">
      <c r="A14" s="93"/>
      <c r="B14" s="93"/>
      <c r="C14" s="111"/>
      <c r="D14" s="107"/>
      <c r="E14" s="107"/>
      <c r="F14" s="107"/>
      <c r="G14" s="107"/>
      <c r="I14" s="387" t="s">
        <v>29</v>
      </c>
      <c r="J14" s="388"/>
      <c r="K14" s="389" t="s">
        <v>30</v>
      </c>
      <c r="L14" s="389"/>
      <c r="M14" s="390"/>
      <c r="N14" s="391"/>
      <c r="U14" s="111"/>
      <c r="V14" s="111"/>
      <c r="W14" s="111"/>
    </row>
    <row r="15" spans="1:25" ht="15.45" customHeight="1" thickBot="1">
      <c r="A15" s="94"/>
      <c r="B15" s="119"/>
      <c r="C15" s="119"/>
      <c r="D15" s="119"/>
      <c r="E15" s="119"/>
      <c r="H15" s="110"/>
      <c r="I15" s="110"/>
      <c r="J15" s="110"/>
      <c r="K15" s="110"/>
      <c r="L15" s="110"/>
      <c r="M15" s="110"/>
      <c r="N15" s="110"/>
      <c r="O15" s="110"/>
      <c r="P15" s="110"/>
      <c r="Q15" s="110"/>
      <c r="R15" s="110"/>
      <c r="S15" s="110"/>
      <c r="T15" s="110"/>
      <c r="U15" s="110"/>
      <c r="V15" s="110"/>
      <c r="W15" s="94"/>
    </row>
    <row r="16" spans="1:25" ht="22.5" customHeight="1">
      <c r="A16" s="351" t="s">
        <v>31</v>
      </c>
      <c r="B16" s="352" t="s">
        <v>32</v>
      </c>
      <c r="C16" s="352" t="s">
        <v>33</v>
      </c>
      <c r="D16" s="352" t="s">
        <v>34</v>
      </c>
      <c r="E16" s="397" t="s">
        <v>362</v>
      </c>
      <c r="F16" s="352" t="s">
        <v>35</v>
      </c>
      <c r="G16" s="352" t="s">
        <v>36</v>
      </c>
      <c r="H16" s="392" t="s">
        <v>37</v>
      </c>
      <c r="I16" s="393"/>
      <c r="J16" s="393"/>
      <c r="K16" s="393"/>
      <c r="L16" s="394"/>
      <c r="M16" s="392" t="s">
        <v>38</v>
      </c>
      <c r="N16" s="393"/>
      <c r="O16" s="393"/>
      <c r="P16" s="394"/>
      <c r="Q16" s="392" t="s">
        <v>39</v>
      </c>
      <c r="R16" s="420" t="s">
        <v>40</v>
      </c>
      <c r="S16" s="394" t="s">
        <v>41</v>
      </c>
      <c r="T16" s="350" t="s">
        <v>42</v>
      </c>
    </row>
    <row r="17" spans="1:27" ht="22.5" customHeight="1" thickBot="1">
      <c r="A17" s="404"/>
      <c r="B17" s="406"/>
      <c r="C17" s="406"/>
      <c r="D17" s="406"/>
      <c r="E17" s="398"/>
      <c r="F17" s="406"/>
      <c r="G17" s="406"/>
      <c r="H17" s="120" t="s">
        <v>43</v>
      </c>
      <c r="I17" s="120" t="s">
        <v>44</v>
      </c>
      <c r="J17" s="120" t="s">
        <v>45</v>
      </c>
      <c r="K17" s="120" t="s">
        <v>46</v>
      </c>
      <c r="L17" s="120" t="s">
        <v>47</v>
      </c>
      <c r="M17" s="120" t="s">
        <v>43</v>
      </c>
      <c r="N17" s="120" t="s">
        <v>44</v>
      </c>
      <c r="O17" s="120" t="s">
        <v>45</v>
      </c>
      <c r="P17" s="120" t="s">
        <v>46</v>
      </c>
      <c r="Q17" s="417"/>
      <c r="R17" s="421"/>
      <c r="S17" s="422"/>
      <c r="T17" s="429"/>
    </row>
    <row r="18" spans="1:27" ht="29.4" customHeight="1">
      <c r="A18" s="345"/>
      <c r="B18" s="346"/>
      <c r="C18" s="407"/>
      <c r="D18" s="409"/>
      <c r="E18" s="322"/>
      <c r="F18" s="121"/>
      <c r="G18" s="122"/>
      <c r="H18" s="123"/>
      <c r="I18" s="124"/>
      <c r="J18" s="124"/>
      <c r="K18" s="124"/>
      <c r="L18" s="125"/>
      <c r="M18" s="126"/>
      <c r="N18" s="124"/>
      <c r="O18" s="124"/>
      <c r="P18" s="125"/>
      <c r="Q18" s="127"/>
      <c r="R18" s="128"/>
      <c r="S18" s="423" t="s">
        <v>52</v>
      </c>
      <c r="T18" s="430" t="s">
        <v>52</v>
      </c>
      <c r="V18" s="104" t="s">
        <v>53</v>
      </c>
      <c r="W18" s="104" t="s">
        <v>54</v>
      </c>
    </row>
    <row r="19" spans="1:27" ht="29.4" customHeight="1">
      <c r="A19" s="370"/>
      <c r="B19" s="371"/>
      <c r="C19" s="408"/>
      <c r="D19" s="410"/>
      <c r="E19" s="323"/>
      <c r="F19" s="129"/>
      <c r="G19" s="130"/>
      <c r="H19" s="131"/>
      <c r="I19" s="132"/>
      <c r="J19" s="132"/>
      <c r="K19" s="132"/>
      <c r="L19" s="133"/>
      <c r="M19" s="134"/>
      <c r="N19" s="132"/>
      <c r="O19" s="132"/>
      <c r="P19" s="133"/>
      <c r="Q19" s="135"/>
      <c r="R19" s="136"/>
      <c r="S19" s="424"/>
      <c r="T19" s="431"/>
      <c r="V19" s="104" t="s">
        <v>56</v>
      </c>
      <c r="W19" s="104" t="s">
        <v>57</v>
      </c>
    </row>
    <row r="20" spans="1:27" ht="29.4" customHeight="1">
      <c r="A20" s="370"/>
      <c r="B20" s="114"/>
      <c r="C20" s="307"/>
      <c r="D20" s="326"/>
      <c r="E20" s="325"/>
      <c r="F20" s="325"/>
      <c r="G20" s="307"/>
      <c r="H20" s="139"/>
      <c r="I20" s="114"/>
      <c r="J20" s="114"/>
      <c r="K20" s="114"/>
      <c r="L20" s="115"/>
      <c r="M20" s="140"/>
      <c r="N20" s="114"/>
      <c r="O20" s="114"/>
      <c r="P20" s="115"/>
      <c r="Q20" s="141"/>
      <c r="R20" s="142"/>
      <c r="S20" s="385"/>
      <c r="T20" s="432"/>
      <c r="V20" s="104" t="s">
        <v>58</v>
      </c>
      <c r="W20" s="104" t="s">
        <v>59</v>
      </c>
    </row>
    <row r="21" spans="1:27" ht="29.4" customHeight="1">
      <c r="A21" s="370"/>
      <c r="B21" s="114"/>
      <c r="C21" s="307"/>
      <c r="D21" s="147"/>
      <c r="E21" s="137"/>
      <c r="F21" s="316"/>
      <c r="G21" s="138"/>
      <c r="H21" s="144"/>
      <c r="I21" s="114"/>
      <c r="J21" s="114"/>
      <c r="K21" s="114"/>
      <c r="L21" s="115"/>
      <c r="M21" s="140"/>
      <c r="N21" s="114"/>
      <c r="O21" s="114"/>
      <c r="P21" s="115"/>
      <c r="Q21" s="141"/>
      <c r="R21" s="142"/>
      <c r="S21" s="385"/>
      <c r="T21" s="432"/>
      <c r="V21" s="104" t="s">
        <v>365</v>
      </c>
      <c r="W21" s="104" t="s">
        <v>60</v>
      </c>
      <c r="X21" s="94"/>
      <c r="Y21" s="94"/>
      <c r="Z21" s="93"/>
      <c r="AA21" s="145"/>
    </row>
    <row r="22" spans="1:27" ht="29.4" customHeight="1">
      <c r="A22" s="370"/>
      <c r="B22" s="114"/>
      <c r="C22" s="137"/>
      <c r="D22" s="137"/>
      <c r="E22" s="137"/>
      <c r="F22" s="316"/>
      <c r="G22" s="143"/>
      <c r="H22" s="144"/>
      <c r="I22" s="114"/>
      <c r="J22" s="114"/>
      <c r="K22" s="114"/>
      <c r="L22" s="115"/>
      <c r="M22" s="140"/>
      <c r="N22" s="114"/>
      <c r="O22" s="114"/>
      <c r="P22" s="115"/>
      <c r="Q22" s="141"/>
      <c r="R22" s="142"/>
      <c r="S22" s="385"/>
      <c r="T22" s="432"/>
      <c r="V22" s="104" t="s">
        <v>61</v>
      </c>
      <c r="W22" s="104" t="s">
        <v>62</v>
      </c>
      <c r="X22" s="94"/>
      <c r="Y22" s="94"/>
      <c r="Z22" s="93"/>
      <c r="AA22" s="145"/>
    </row>
    <row r="23" spans="1:27" ht="29.4" customHeight="1">
      <c r="A23" s="370"/>
      <c r="B23" s="114"/>
      <c r="C23" s="146"/>
      <c r="D23" s="147"/>
      <c r="E23" s="147"/>
      <c r="F23" s="316"/>
      <c r="G23" s="138"/>
      <c r="H23" s="144"/>
      <c r="I23" s="114"/>
      <c r="J23" s="114"/>
      <c r="K23" s="114"/>
      <c r="L23" s="115"/>
      <c r="M23" s="140"/>
      <c r="N23" s="114"/>
      <c r="O23" s="114"/>
      <c r="P23" s="115"/>
      <c r="Q23" s="141"/>
      <c r="R23" s="142"/>
      <c r="S23" s="385"/>
      <c r="T23" s="432"/>
      <c r="V23" s="104" t="s">
        <v>63</v>
      </c>
      <c r="W23" s="104" t="s">
        <v>64</v>
      </c>
      <c r="X23" s="94"/>
      <c r="Y23" s="94"/>
      <c r="Z23" s="93"/>
      <c r="AA23" s="145"/>
    </row>
    <row r="24" spans="1:27" ht="29.4" customHeight="1">
      <c r="A24" s="370"/>
      <c r="B24" s="114">
        <v>6</v>
      </c>
      <c r="C24" s="148"/>
      <c r="D24" s="104"/>
      <c r="E24" s="104"/>
      <c r="F24" s="149"/>
      <c r="G24" s="150"/>
      <c r="H24" s="144"/>
      <c r="I24" s="114"/>
      <c r="J24" s="114"/>
      <c r="K24" s="114"/>
      <c r="L24" s="115"/>
      <c r="M24" s="140"/>
      <c r="N24" s="114"/>
      <c r="O24" s="114"/>
      <c r="P24" s="115"/>
      <c r="Q24" s="141"/>
      <c r="R24" s="142"/>
      <c r="S24" s="385"/>
      <c r="T24" s="432"/>
      <c r="V24" s="104" t="s">
        <v>65</v>
      </c>
      <c r="W24" s="104" t="s">
        <v>66</v>
      </c>
      <c r="X24" s="94"/>
      <c r="Y24" s="94"/>
      <c r="Z24" s="93"/>
      <c r="AA24" s="145"/>
    </row>
    <row r="25" spans="1:27" ht="29.4" customHeight="1">
      <c r="A25" s="370"/>
      <c r="B25" s="114">
        <v>7</v>
      </c>
      <c r="C25" s="148"/>
      <c r="D25" s="104"/>
      <c r="E25" s="104"/>
      <c r="F25" s="149"/>
      <c r="G25" s="151"/>
      <c r="H25" s="144"/>
      <c r="I25" s="114"/>
      <c r="J25" s="114"/>
      <c r="K25" s="114"/>
      <c r="L25" s="115"/>
      <c r="M25" s="140"/>
      <c r="N25" s="114"/>
      <c r="O25" s="114"/>
      <c r="P25" s="115"/>
      <c r="Q25" s="141"/>
      <c r="R25" s="142"/>
      <c r="S25" s="385"/>
      <c r="T25" s="432"/>
      <c r="V25" s="104" t="s">
        <v>67</v>
      </c>
      <c r="W25" s="104" t="s">
        <v>68</v>
      </c>
      <c r="X25" s="94"/>
      <c r="Y25" s="94"/>
      <c r="Z25" s="93"/>
      <c r="AA25" s="145"/>
    </row>
    <row r="26" spans="1:27" ht="29.4" customHeight="1">
      <c r="A26" s="370"/>
      <c r="B26" s="114">
        <v>8</v>
      </c>
      <c r="C26" s="148"/>
      <c r="D26" s="104"/>
      <c r="E26" s="104"/>
      <c r="F26" s="149"/>
      <c r="G26" s="152"/>
      <c r="H26" s="144"/>
      <c r="I26" s="114"/>
      <c r="J26" s="114"/>
      <c r="K26" s="114"/>
      <c r="L26" s="115"/>
      <c r="M26" s="140"/>
      <c r="N26" s="114"/>
      <c r="O26" s="114"/>
      <c r="P26" s="115"/>
      <c r="Q26" s="141"/>
      <c r="R26" s="142"/>
      <c r="S26" s="385"/>
      <c r="T26" s="432"/>
      <c r="V26" s="104" t="s">
        <v>69</v>
      </c>
      <c r="W26" s="104" t="s">
        <v>70</v>
      </c>
      <c r="X26" s="94"/>
      <c r="Y26" s="94"/>
      <c r="Z26" s="93"/>
      <c r="AA26" s="145"/>
    </row>
    <row r="27" spans="1:27" ht="29.4" customHeight="1">
      <c r="A27" s="370"/>
      <c r="B27" s="114">
        <v>9</v>
      </c>
      <c r="C27" s="148"/>
      <c r="D27" s="104"/>
      <c r="E27" s="104"/>
      <c r="F27" s="149"/>
      <c r="G27" s="152"/>
      <c r="H27" s="153"/>
      <c r="I27" s="154"/>
      <c r="J27" s="154"/>
      <c r="K27" s="154"/>
      <c r="L27" s="155"/>
      <c r="M27" s="156"/>
      <c r="N27" s="154"/>
      <c r="O27" s="154"/>
      <c r="P27" s="155"/>
      <c r="Q27" s="157"/>
      <c r="R27" s="158"/>
      <c r="S27" s="425"/>
      <c r="T27" s="433"/>
      <c r="V27" s="104" t="s">
        <v>71</v>
      </c>
      <c r="W27" s="104" t="s">
        <v>72</v>
      </c>
      <c r="X27" s="94"/>
      <c r="Y27" s="94"/>
      <c r="Z27" s="93"/>
      <c r="AA27" s="145"/>
    </row>
    <row r="28" spans="1:27" ht="29.4" customHeight="1">
      <c r="A28" s="405"/>
      <c r="B28" s="116">
        <v>10</v>
      </c>
      <c r="C28" s="159"/>
      <c r="D28" s="160"/>
      <c r="E28" s="160"/>
      <c r="F28" s="161"/>
      <c r="G28" s="162"/>
      <c r="H28" s="163"/>
      <c r="I28" s="116"/>
      <c r="J28" s="116"/>
      <c r="K28" s="116"/>
      <c r="L28" s="164"/>
      <c r="M28" s="165"/>
      <c r="N28" s="116"/>
      <c r="O28" s="116"/>
      <c r="P28" s="164"/>
      <c r="Q28" s="166"/>
      <c r="R28" s="167"/>
      <c r="S28" s="426"/>
      <c r="T28" s="434"/>
      <c r="V28" s="104" t="s">
        <v>73</v>
      </c>
      <c r="W28" s="104" t="s">
        <v>74</v>
      </c>
      <c r="X28" s="94"/>
      <c r="Y28" s="94"/>
      <c r="Z28" s="93"/>
      <c r="AA28" s="145"/>
    </row>
    <row r="29" spans="1:27" ht="27.45" customHeight="1">
      <c r="A29" s="395" t="s">
        <v>75</v>
      </c>
      <c r="B29" s="396"/>
      <c r="C29" s="396"/>
      <c r="D29" s="168"/>
      <c r="E29" s="168"/>
      <c r="F29" s="169" t="s">
        <v>76</v>
      </c>
      <c r="G29" s="170"/>
      <c r="H29" s="107"/>
      <c r="I29" s="107"/>
      <c r="J29" s="107"/>
      <c r="K29" s="107"/>
      <c r="L29" s="107"/>
      <c r="M29" s="107"/>
      <c r="N29" s="107"/>
      <c r="O29" s="107"/>
      <c r="P29" s="107"/>
      <c r="Q29" s="107"/>
      <c r="R29" s="107"/>
      <c r="S29" s="171"/>
      <c r="T29" s="172"/>
      <c r="V29" s="104" t="s">
        <v>77</v>
      </c>
      <c r="W29" s="104" t="s">
        <v>78</v>
      </c>
      <c r="X29" s="94"/>
      <c r="Y29" s="94"/>
      <c r="Z29" s="93"/>
      <c r="AA29" s="145"/>
    </row>
    <row r="30" spans="1:27" ht="27.45" customHeight="1">
      <c r="A30" s="411" t="s">
        <v>79</v>
      </c>
      <c r="B30" s="338"/>
      <c r="C30" s="338"/>
      <c r="D30" s="338"/>
      <c r="E30" s="338"/>
      <c r="F30" s="338"/>
      <c r="G30" s="338"/>
      <c r="H30" s="412"/>
      <c r="I30" s="412"/>
      <c r="J30" s="412"/>
      <c r="K30" s="412"/>
      <c r="L30" s="412"/>
      <c r="M30" s="412"/>
      <c r="N30" s="412"/>
      <c r="O30" s="412"/>
      <c r="P30" s="412"/>
      <c r="Q30" s="412"/>
      <c r="R30" s="412"/>
      <c r="S30" s="412"/>
      <c r="T30" s="413"/>
      <c r="V30" s="104" t="s">
        <v>80</v>
      </c>
      <c r="W30" s="104" t="s">
        <v>81</v>
      </c>
    </row>
    <row r="31" spans="1:27" ht="27.45" customHeight="1">
      <c r="A31" s="414"/>
      <c r="B31" s="415"/>
      <c r="C31" s="415"/>
      <c r="D31" s="415"/>
      <c r="E31" s="415"/>
      <c r="F31" s="415"/>
      <c r="G31" s="415"/>
      <c r="H31" s="415"/>
      <c r="I31" s="415"/>
      <c r="J31" s="415"/>
      <c r="K31" s="415"/>
      <c r="L31" s="415"/>
      <c r="M31" s="415"/>
      <c r="N31" s="415"/>
      <c r="O31" s="415"/>
      <c r="P31" s="415"/>
      <c r="Q31" s="415"/>
      <c r="R31" s="415"/>
      <c r="S31" s="415"/>
      <c r="T31" s="416"/>
    </row>
    <row r="36" spans="1:14">
      <c r="C36" s="173"/>
    </row>
    <row r="38" spans="1:14">
      <c r="A38" s="174" t="s">
        <v>5</v>
      </c>
      <c r="B38" s="174" t="s">
        <v>6</v>
      </c>
      <c r="C38" s="174" t="s">
        <v>7</v>
      </c>
    </row>
    <row r="39" spans="1:14">
      <c r="A39" s="174" t="s">
        <v>11</v>
      </c>
      <c r="B39" s="174" t="s">
        <v>12</v>
      </c>
      <c r="C39" s="175"/>
      <c r="I39" s="402"/>
      <c r="J39" s="402"/>
      <c r="K39" s="402"/>
      <c r="L39" s="402"/>
      <c r="M39" s="402"/>
      <c r="N39" s="402"/>
    </row>
    <row r="40" spans="1:14">
      <c r="A40" s="174" t="s">
        <v>17</v>
      </c>
      <c r="B40" s="174" t="s">
        <v>18</v>
      </c>
      <c r="C40" s="176"/>
      <c r="H40" s="109" t="s">
        <v>82</v>
      </c>
      <c r="I40" s="401"/>
      <c r="J40" s="401"/>
      <c r="K40" s="399"/>
      <c r="L40" s="399"/>
      <c r="M40" s="399"/>
      <c r="N40" s="399"/>
    </row>
    <row r="41" spans="1:14">
      <c r="A41" s="174" t="s">
        <v>20</v>
      </c>
      <c r="B41" s="174" t="s">
        <v>18</v>
      </c>
      <c r="C41" s="176"/>
      <c r="I41" s="401"/>
      <c r="J41" s="401"/>
      <c r="K41" s="399"/>
      <c r="L41" s="399"/>
      <c r="M41" s="400"/>
      <c r="N41" s="400"/>
    </row>
    <row r="42" spans="1:14">
      <c r="A42" s="174" t="s">
        <v>22</v>
      </c>
      <c r="B42" s="174" t="s">
        <v>18</v>
      </c>
      <c r="C42" s="175"/>
      <c r="I42" s="401"/>
      <c r="J42" s="401"/>
      <c r="K42" s="399"/>
      <c r="L42" s="399"/>
      <c r="M42" s="400"/>
      <c r="N42" s="400"/>
    </row>
    <row r="43" spans="1:14">
      <c r="A43" s="174" t="s">
        <v>24</v>
      </c>
      <c r="B43" s="174" t="s">
        <v>25</v>
      </c>
      <c r="C43" s="175"/>
      <c r="I43" s="401"/>
      <c r="J43" s="401"/>
      <c r="K43" s="399"/>
      <c r="L43" s="399"/>
      <c r="M43" s="399"/>
      <c r="N43" s="399"/>
    </row>
    <row r="44" spans="1:14">
      <c r="A44" s="174" t="s">
        <v>26</v>
      </c>
      <c r="B44" s="174" t="s">
        <v>18</v>
      </c>
      <c r="C44" s="176"/>
      <c r="I44" s="401"/>
      <c r="J44" s="401"/>
      <c r="K44" s="399"/>
      <c r="L44" s="399"/>
      <c r="M44" s="399"/>
      <c r="N44" s="399"/>
    </row>
    <row r="45" spans="1:14">
      <c r="A45" s="174" t="s">
        <v>27</v>
      </c>
      <c r="B45" s="174" t="s">
        <v>18</v>
      </c>
      <c r="C45" s="176"/>
      <c r="I45" s="401"/>
      <c r="J45" s="401"/>
      <c r="K45" s="399"/>
      <c r="L45" s="399"/>
      <c r="M45" s="400"/>
      <c r="N45" s="400"/>
    </row>
    <row r="46" spans="1:14">
      <c r="A46" s="174" t="s">
        <v>28</v>
      </c>
      <c r="B46" s="174" t="s">
        <v>18</v>
      </c>
      <c r="C46" s="176"/>
      <c r="I46" s="401"/>
      <c r="J46" s="401"/>
      <c r="K46" s="399"/>
      <c r="L46" s="399"/>
      <c r="M46" s="400"/>
      <c r="N46" s="400"/>
    </row>
    <row r="47" spans="1:14">
      <c r="A47" s="174" t="s">
        <v>29</v>
      </c>
      <c r="B47" s="174" t="s">
        <v>30</v>
      </c>
      <c r="C47" s="177"/>
      <c r="I47" s="401"/>
      <c r="J47" s="401"/>
      <c r="K47" s="399"/>
      <c r="L47" s="399"/>
      <c r="M47" s="400"/>
      <c r="N47" s="400"/>
    </row>
    <row r="48" spans="1:14">
      <c r="I48" s="401"/>
      <c r="J48" s="401"/>
      <c r="K48" s="399"/>
      <c r="L48" s="399"/>
      <c r="M48" s="403"/>
      <c r="N48" s="403"/>
    </row>
  </sheetData>
  <mergeCells count="106">
    <mergeCell ref="Q16:Q17"/>
    <mergeCell ref="R7:R8"/>
    <mergeCell ref="R16:R17"/>
    <mergeCell ref="S7:S8"/>
    <mergeCell ref="S16:S17"/>
    <mergeCell ref="S18:S28"/>
    <mergeCell ref="T7:T8"/>
    <mergeCell ref="T16:T17"/>
    <mergeCell ref="T18:T28"/>
    <mergeCell ref="P7:Q8"/>
    <mergeCell ref="P9:Q9"/>
    <mergeCell ref="I48:J48"/>
    <mergeCell ref="K48:L48"/>
    <mergeCell ref="M48:N48"/>
    <mergeCell ref="A16:A17"/>
    <mergeCell ref="A18:A28"/>
    <mergeCell ref="B16:B17"/>
    <mergeCell ref="B18:B19"/>
    <mergeCell ref="C16:C17"/>
    <mergeCell ref="C18:C19"/>
    <mergeCell ref="D16:D17"/>
    <mergeCell ref="D18:D19"/>
    <mergeCell ref="F16:F17"/>
    <mergeCell ref="G16:G17"/>
    <mergeCell ref="A30:T31"/>
    <mergeCell ref="I45:J45"/>
    <mergeCell ref="K45:L45"/>
    <mergeCell ref="M45:N45"/>
    <mergeCell ref="I46:J46"/>
    <mergeCell ref="K46:L46"/>
    <mergeCell ref="M46:N46"/>
    <mergeCell ref="I47:J47"/>
    <mergeCell ref="K47:L47"/>
    <mergeCell ref="M47:N47"/>
    <mergeCell ref="I42:J42"/>
    <mergeCell ref="K42:L42"/>
    <mergeCell ref="M42:N42"/>
    <mergeCell ref="I43:J43"/>
    <mergeCell ref="K43:L43"/>
    <mergeCell ref="M43:N43"/>
    <mergeCell ref="I44:J44"/>
    <mergeCell ref="K44:L44"/>
    <mergeCell ref="M44:N44"/>
    <mergeCell ref="I39:J39"/>
    <mergeCell ref="K39:L39"/>
    <mergeCell ref="M39:N39"/>
    <mergeCell ref="I40:J40"/>
    <mergeCell ref="K40:L40"/>
    <mergeCell ref="M40:N40"/>
    <mergeCell ref="I41:J41"/>
    <mergeCell ref="K41:L41"/>
    <mergeCell ref="M41:N41"/>
    <mergeCell ref="I13:J13"/>
    <mergeCell ref="K13:L13"/>
    <mergeCell ref="M13:N13"/>
    <mergeCell ref="I14:J14"/>
    <mergeCell ref="K14:L14"/>
    <mergeCell ref="M14:N14"/>
    <mergeCell ref="H16:L16"/>
    <mergeCell ref="M16:P16"/>
    <mergeCell ref="A29:C29"/>
    <mergeCell ref="E16:E17"/>
    <mergeCell ref="I10:J10"/>
    <mergeCell ref="K10:L10"/>
    <mergeCell ref="M10:N10"/>
    <mergeCell ref="I11:J11"/>
    <mergeCell ref="K11:L11"/>
    <mergeCell ref="M11:N11"/>
    <mergeCell ref="I12:J12"/>
    <mergeCell ref="K12:L12"/>
    <mergeCell ref="M12:N12"/>
    <mergeCell ref="A8:B8"/>
    <mergeCell ref="C8:G8"/>
    <mergeCell ref="I8:J8"/>
    <mergeCell ref="K8:L8"/>
    <mergeCell ref="M8:N8"/>
    <mergeCell ref="A9:B9"/>
    <mergeCell ref="C9:G9"/>
    <mergeCell ref="I9:J9"/>
    <mergeCell ref="K9:L9"/>
    <mergeCell ref="M9:N9"/>
    <mergeCell ref="A6:B6"/>
    <mergeCell ref="C6:G6"/>
    <mergeCell ref="I6:J6"/>
    <mergeCell ref="K6:L6"/>
    <mergeCell ref="M6:N6"/>
    <mergeCell ref="P6:Q6"/>
    <mergeCell ref="A7:B7"/>
    <mergeCell ref="C7:G7"/>
    <mergeCell ref="I7:J7"/>
    <mergeCell ref="K7:L7"/>
    <mergeCell ref="M7:N7"/>
    <mergeCell ref="R1:T1"/>
    <mergeCell ref="R2:T2"/>
    <mergeCell ref="R3:T3"/>
    <mergeCell ref="A4:B4"/>
    <mergeCell ref="P4:T4"/>
    <mergeCell ref="V4:W4"/>
    <mergeCell ref="A5:B5"/>
    <mergeCell ref="C5:G5"/>
    <mergeCell ref="I5:J5"/>
    <mergeCell ref="K5:L5"/>
    <mergeCell ref="M5:N5"/>
    <mergeCell ref="P5:R5"/>
    <mergeCell ref="S5:T5"/>
    <mergeCell ref="A1:Q3"/>
  </mergeCells>
  <conditionalFormatting sqref="D25:E25">
    <cfRule type="duplicateValues" dxfId="87" priority="13" stopIfTrue="1"/>
    <cfRule type="duplicateValues" dxfId="86" priority="14" stopIfTrue="1"/>
    <cfRule type="duplicateValues" dxfId="85" priority="15" stopIfTrue="1"/>
    <cfRule type="duplicateValues" dxfId="84" priority="16" stopIfTrue="1"/>
    <cfRule type="duplicateValues" dxfId="83" priority="17" stopIfTrue="1"/>
    <cfRule type="duplicateValues" dxfId="82" priority="18" stopIfTrue="1"/>
  </conditionalFormatting>
  <printOptions horizontalCentered="1"/>
  <pageMargins left="0" right="0" top="0.75" bottom="0.75" header="0.3" footer="0.3"/>
  <pageSetup paperSize="9" scale="59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  <pageSetUpPr fitToPage="1"/>
  </sheetPr>
  <dimension ref="A1:AA33"/>
  <sheetViews>
    <sheetView view="pageBreakPreview" topLeftCell="A5" zoomScaleNormal="100" zoomScaleSheetLayoutView="100" zoomScalePageLayoutView="80" workbookViewId="0">
      <selection activeCell="M9" sqref="M9:N9"/>
    </sheetView>
  </sheetViews>
  <sheetFormatPr defaultColWidth="8.88671875" defaultRowHeight="13.8"/>
  <cols>
    <col min="1" max="1" width="9.44140625" style="109" customWidth="1"/>
    <col min="2" max="2" width="6.109375" style="109" customWidth="1"/>
    <col min="3" max="3" width="23.44140625" style="109" customWidth="1"/>
    <col min="4" max="5" width="21.109375" style="109" customWidth="1"/>
    <col min="6" max="6" width="7.44140625" style="107" customWidth="1"/>
    <col min="7" max="7" width="10" style="109" customWidth="1"/>
    <col min="8" max="16" width="9.44140625" style="109" customWidth="1"/>
    <col min="17" max="17" width="10.109375" style="109" customWidth="1"/>
    <col min="18" max="18" width="18.33203125" style="109" customWidth="1"/>
    <col min="19" max="20" width="17.21875" style="109" customWidth="1"/>
    <col min="21" max="21" width="11.44140625" style="109" customWidth="1"/>
    <col min="22" max="23" width="10.44140625" style="109" customWidth="1"/>
    <col min="24" max="16384" width="8.88671875" style="109"/>
  </cols>
  <sheetData>
    <row r="1" spans="1:25" ht="17.25" customHeight="1">
      <c r="A1" s="351" t="s">
        <v>0</v>
      </c>
      <c r="B1" s="352"/>
      <c r="C1" s="352"/>
      <c r="D1" s="352"/>
      <c r="E1" s="352"/>
      <c r="F1" s="352"/>
      <c r="G1" s="352"/>
      <c r="H1" s="352"/>
      <c r="I1" s="352"/>
      <c r="J1" s="352"/>
      <c r="K1" s="352"/>
      <c r="L1" s="352"/>
      <c r="M1" s="352"/>
      <c r="N1" s="352"/>
      <c r="O1" s="352"/>
      <c r="P1" s="352"/>
      <c r="Q1" s="353"/>
      <c r="R1" s="329" t="s">
        <v>1</v>
      </c>
      <c r="S1" s="330"/>
      <c r="T1" s="331"/>
    </row>
    <row r="2" spans="1:25" ht="17.25" customHeight="1">
      <c r="A2" s="354"/>
      <c r="B2" s="355"/>
      <c r="C2" s="355"/>
      <c r="D2" s="355"/>
      <c r="E2" s="355"/>
      <c r="F2" s="355"/>
      <c r="G2" s="355"/>
      <c r="H2" s="355"/>
      <c r="I2" s="355"/>
      <c r="J2" s="355"/>
      <c r="K2" s="355"/>
      <c r="L2" s="355"/>
      <c r="M2" s="355"/>
      <c r="N2" s="355"/>
      <c r="O2" s="355"/>
      <c r="P2" s="355"/>
      <c r="Q2" s="356"/>
      <c r="R2" s="332" t="s">
        <v>2</v>
      </c>
      <c r="S2" s="333"/>
      <c r="T2" s="334"/>
    </row>
    <row r="3" spans="1:25" ht="17.25" customHeight="1">
      <c r="A3" s="357"/>
      <c r="B3" s="358"/>
      <c r="C3" s="358"/>
      <c r="D3" s="358"/>
      <c r="E3" s="358"/>
      <c r="F3" s="358"/>
      <c r="G3" s="358"/>
      <c r="H3" s="358"/>
      <c r="I3" s="358"/>
      <c r="J3" s="358"/>
      <c r="K3" s="358"/>
      <c r="L3" s="358"/>
      <c r="M3" s="358"/>
      <c r="N3" s="358"/>
      <c r="O3" s="358"/>
      <c r="P3" s="358"/>
      <c r="Q3" s="359"/>
      <c r="R3" s="335" t="s">
        <v>3</v>
      </c>
      <c r="S3" s="336"/>
      <c r="T3" s="337"/>
    </row>
    <row r="4" spans="1:25" ht="15.75" customHeight="1">
      <c r="A4" s="338"/>
      <c r="B4" s="338"/>
      <c r="C4" s="110"/>
      <c r="D4" s="110"/>
      <c r="E4" s="110"/>
      <c r="F4" s="110"/>
      <c r="H4" s="111"/>
      <c r="I4" s="111"/>
      <c r="J4" s="111"/>
      <c r="K4" s="111"/>
      <c r="L4" s="111"/>
      <c r="M4" s="111"/>
      <c r="N4" s="111"/>
      <c r="O4" s="111"/>
      <c r="P4" s="339"/>
      <c r="Q4" s="339"/>
      <c r="R4" s="339"/>
      <c r="S4" s="339"/>
      <c r="T4" s="339"/>
      <c r="U4" s="111"/>
      <c r="V4" s="338"/>
      <c r="W4" s="338"/>
    </row>
    <row r="5" spans="1:25" s="91" customFormat="1" ht="17.55" customHeight="1">
      <c r="A5" s="340" t="s">
        <v>4</v>
      </c>
      <c r="B5" s="341"/>
      <c r="C5" s="342" t="str">
        <f>In!C5:G5</f>
        <v xml:space="preserve">NHÀ MÁY SX TINH BỘT SẮN TÂN CHÂU-CN CÔNG TY CPNS THỰC PHẨM QUẢNG NGÃI					</v>
      </c>
      <c r="D5" s="343"/>
      <c r="E5" s="343"/>
      <c r="F5" s="343"/>
      <c r="G5" s="344"/>
      <c r="I5" s="345" t="s">
        <v>5</v>
      </c>
      <c r="J5" s="346"/>
      <c r="K5" s="346" t="s">
        <v>6</v>
      </c>
      <c r="L5" s="346"/>
      <c r="M5" s="346" t="s">
        <v>7</v>
      </c>
      <c r="N5" s="347"/>
      <c r="P5" s="348" t="s">
        <v>8</v>
      </c>
      <c r="Q5" s="349"/>
      <c r="R5" s="349"/>
      <c r="S5" s="349" t="s">
        <v>9</v>
      </c>
      <c r="T5" s="350"/>
      <c r="U5" s="112"/>
      <c r="V5" s="112" t="s">
        <v>83</v>
      </c>
      <c r="W5" s="112" t="s">
        <v>84</v>
      </c>
      <c r="X5" s="91" t="s">
        <v>85</v>
      </c>
      <c r="Y5" s="91" t="s">
        <v>86</v>
      </c>
    </row>
    <row r="6" spans="1:25" s="91" customFormat="1" ht="17.55" customHeight="1">
      <c r="A6" s="360" t="s">
        <v>10</v>
      </c>
      <c r="B6" s="361"/>
      <c r="C6" s="374" t="str">
        <f>In!C6:G6</f>
        <v>Bao giấy 25kg AM-20 Tân Châu</v>
      </c>
      <c r="D6" s="375"/>
      <c r="E6" s="375"/>
      <c r="F6" s="375"/>
      <c r="G6" s="376"/>
      <c r="I6" s="440" t="s">
        <v>11</v>
      </c>
      <c r="J6" s="441"/>
      <c r="K6" s="442" t="s">
        <v>12</v>
      </c>
      <c r="L6" s="442"/>
      <c r="M6" s="443">
        <f>In!M6:N6</f>
        <v>5000</v>
      </c>
      <c r="N6" s="444"/>
      <c r="P6" s="370" t="s">
        <v>13</v>
      </c>
      <c r="Q6" s="371"/>
      <c r="R6" s="114" t="s">
        <v>14</v>
      </c>
      <c r="S6" s="114" t="s">
        <v>15</v>
      </c>
      <c r="T6" s="115" t="s">
        <v>14</v>
      </c>
      <c r="U6" s="112"/>
      <c r="V6" s="112"/>
      <c r="W6" s="112"/>
    </row>
    <row r="7" spans="1:25" s="91" customFormat="1" ht="17.55" customHeight="1">
      <c r="A7" s="360" t="s">
        <v>16</v>
      </c>
      <c r="B7" s="361"/>
      <c r="C7" s="374" t="str">
        <f>In!C7:G7</f>
        <v>BT1KH00563KP0004</v>
      </c>
      <c r="D7" s="375"/>
      <c r="E7" s="375"/>
      <c r="F7" s="375"/>
      <c r="G7" s="376"/>
      <c r="I7" s="440" t="s">
        <v>87</v>
      </c>
      <c r="J7" s="441"/>
      <c r="K7" s="442" t="s">
        <v>18</v>
      </c>
      <c r="L7" s="442"/>
      <c r="M7" s="377">
        <f>In!M7:N7</f>
        <v>0.92</v>
      </c>
      <c r="N7" s="378"/>
      <c r="P7" s="435"/>
      <c r="Q7" s="436"/>
      <c r="R7" s="418"/>
      <c r="S7" s="418"/>
      <c r="T7" s="427"/>
      <c r="U7" s="111"/>
      <c r="V7" s="111"/>
      <c r="W7" s="111"/>
    </row>
    <row r="8" spans="1:25" s="91" customFormat="1" ht="17.55" customHeight="1">
      <c r="A8" s="360" t="s">
        <v>19</v>
      </c>
      <c r="B8" s="361"/>
      <c r="C8" s="374" t="str">
        <f>In!C8:G8</f>
        <v>26BA2HKH00563000029</v>
      </c>
      <c r="D8" s="375"/>
      <c r="E8" s="375"/>
      <c r="F8" s="375"/>
      <c r="G8" s="376"/>
      <c r="I8" s="440" t="s">
        <v>20</v>
      </c>
      <c r="J8" s="441"/>
      <c r="K8" s="442" t="s">
        <v>18</v>
      </c>
      <c r="L8" s="442"/>
      <c r="M8" s="377">
        <f>In!M8:N8</f>
        <v>0.5</v>
      </c>
      <c r="N8" s="378"/>
      <c r="P8" s="437"/>
      <c r="Q8" s="438"/>
      <c r="R8" s="419"/>
      <c r="S8" s="419"/>
      <c r="T8" s="428"/>
      <c r="U8" s="111"/>
      <c r="V8" s="111"/>
      <c r="W8" s="111"/>
    </row>
    <row r="9" spans="1:25" s="91" customFormat="1" ht="17.55" customHeight="1" thickBot="1">
      <c r="A9" s="379" t="s">
        <v>21</v>
      </c>
      <c r="B9" s="380"/>
      <c r="C9" s="381" t="str">
        <f>In!C9</f>
        <v>SX2607045</v>
      </c>
      <c r="D9" s="382"/>
      <c r="E9" s="382"/>
      <c r="F9" s="382"/>
      <c r="G9" s="383"/>
      <c r="I9" s="440" t="str">
        <f>In!I9:J9</f>
        <v>Số lượng in thực tế</v>
      </c>
      <c r="J9" s="441"/>
      <c r="K9" s="442" t="s">
        <v>18</v>
      </c>
      <c r="L9" s="442"/>
      <c r="M9" s="443">
        <f>M6*M7</f>
        <v>4600</v>
      </c>
      <c r="N9" s="444"/>
      <c r="P9" s="405" t="s">
        <v>358</v>
      </c>
      <c r="Q9" s="439"/>
      <c r="R9" s="116" t="s">
        <v>358</v>
      </c>
      <c r="S9" s="105"/>
      <c r="T9" s="117"/>
      <c r="U9" s="111"/>
      <c r="V9" s="111"/>
      <c r="W9" s="111"/>
    </row>
    <row r="10" spans="1:25" s="91" customFormat="1" ht="17.55" customHeight="1">
      <c r="A10" s="93"/>
      <c r="B10" s="93"/>
      <c r="C10" s="111"/>
      <c r="D10" s="107"/>
      <c r="E10" s="107"/>
      <c r="F10" s="107"/>
      <c r="G10" s="107"/>
      <c r="I10" s="440" t="s">
        <v>26</v>
      </c>
      <c r="J10" s="441"/>
      <c r="K10" s="442" t="s">
        <v>18</v>
      </c>
      <c r="L10" s="442"/>
      <c r="M10" s="377">
        <f>M8*2+0.07</f>
        <v>1.07</v>
      </c>
      <c r="N10" s="378"/>
      <c r="U10" s="111"/>
      <c r="V10" s="111"/>
      <c r="W10" s="111"/>
    </row>
    <row r="11" spans="1:25" s="91" customFormat="1" ht="17.55" customHeight="1">
      <c r="A11" s="93"/>
      <c r="B11" s="93"/>
      <c r="C11" s="111"/>
      <c r="D11" s="107"/>
      <c r="E11" s="107"/>
      <c r="F11" s="107"/>
      <c r="G11" s="107"/>
      <c r="I11" s="440" t="s">
        <v>27</v>
      </c>
      <c r="J11" s="441"/>
      <c r="K11" s="442" t="s">
        <v>18</v>
      </c>
      <c r="L11" s="442"/>
      <c r="M11" s="377"/>
      <c r="N11" s="378"/>
      <c r="U11" s="111"/>
      <c r="V11" s="111"/>
      <c r="W11" s="111"/>
    </row>
    <row r="12" spans="1:25" s="91" customFormat="1" ht="17.55" customHeight="1">
      <c r="A12" s="93"/>
      <c r="B12" s="93"/>
      <c r="C12" s="111"/>
      <c r="D12" s="107"/>
      <c r="E12" s="107"/>
      <c r="F12" s="107"/>
      <c r="G12" s="107"/>
      <c r="I12" s="440" t="s">
        <v>28</v>
      </c>
      <c r="J12" s="441"/>
      <c r="K12" s="442" t="s">
        <v>18</v>
      </c>
      <c r="L12" s="442"/>
      <c r="M12" s="377">
        <v>1.01</v>
      </c>
      <c r="N12" s="378"/>
      <c r="U12" s="111"/>
      <c r="V12" s="111"/>
      <c r="W12" s="111"/>
    </row>
    <row r="13" spans="1:25" s="91" customFormat="1" ht="17.55" customHeight="1" thickBot="1">
      <c r="A13" s="93"/>
      <c r="B13" s="93"/>
      <c r="C13" s="111"/>
      <c r="D13" s="107"/>
      <c r="E13" s="107"/>
      <c r="F13" s="107"/>
      <c r="G13" s="107"/>
      <c r="I13" s="448" t="s">
        <v>29</v>
      </c>
      <c r="J13" s="449"/>
      <c r="K13" s="450" t="s">
        <v>30</v>
      </c>
      <c r="L13" s="450"/>
      <c r="M13" s="451">
        <f>In!M14:N14</f>
        <v>4.1000000000000002E-2</v>
      </c>
      <c r="N13" s="452"/>
      <c r="U13" s="111"/>
      <c r="V13" s="111"/>
      <c r="W13" s="111"/>
    </row>
    <row r="14" spans="1:25" ht="15.45" customHeight="1" thickBot="1">
      <c r="A14" s="94"/>
      <c r="B14" s="119"/>
      <c r="C14" s="119"/>
      <c r="D14" s="119"/>
      <c r="E14" s="119"/>
      <c r="H14" s="110"/>
      <c r="I14" s="110"/>
      <c r="J14" s="110"/>
      <c r="K14" s="110"/>
      <c r="L14" s="110"/>
      <c r="M14" s="110"/>
      <c r="N14" s="110"/>
      <c r="O14" s="191"/>
      <c r="P14" s="191"/>
      <c r="Q14" s="191"/>
      <c r="R14" s="191"/>
      <c r="S14" s="191"/>
      <c r="T14" s="191"/>
      <c r="U14" s="110"/>
      <c r="V14" s="110"/>
      <c r="W14" s="94"/>
    </row>
    <row r="15" spans="1:25" ht="33" customHeight="1">
      <c r="A15" s="351" t="s">
        <v>31</v>
      </c>
      <c r="B15" s="352" t="s">
        <v>32</v>
      </c>
      <c r="C15" s="352" t="s">
        <v>33</v>
      </c>
      <c r="D15" s="352" t="s">
        <v>34</v>
      </c>
      <c r="E15" s="397" t="s">
        <v>362</v>
      </c>
      <c r="F15" s="352" t="s">
        <v>35</v>
      </c>
      <c r="G15" s="352" t="s">
        <v>36</v>
      </c>
      <c r="H15" s="392" t="s">
        <v>37</v>
      </c>
      <c r="I15" s="393"/>
      <c r="J15" s="393"/>
      <c r="K15" s="393"/>
      <c r="L15" s="394"/>
      <c r="M15" s="392" t="s">
        <v>38</v>
      </c>
      <c r="N15" s="393"/>
      <c r="O15" s="393"/>
      <c r="P15" s="394"/>
      <c r="Q15" s="392" t="s">
        <v>39</v>
      </c>
      <c r="R15" s="420" t="s">
        <v>40</v>
      </c>
      <c r="S15" s="394" t="s">
        <v>41</v>
      </c>
      <c r="T15" s="350" t="s">
        <v>42</v>
      </c>
    </row>
    <row r="16" spans="1:25" ht="33" customHeight="1" thickBot="1">
      <c r="A16" s="357"/>
      <c r="B16" s="358"/>
      <c r="C16" s="358"/>
      <c r="D16" s="358"/>
      <c r="E16" s="398"/>
      <c r="F16" s="358"/>
      <c r="G16" s="358"/>
      <c r="H16" s="120" t="s">
        <v>43</v>
      </c>
      <c r="I16" s="120" t="s">
        <v>44</v>
      </c>
      <c r="J16" s="120" t="s">
        <v>45</v>
      </c>
      <c r="K16" s="120" t="s">
        <v>46</v>
      </c>
      <c r="L16" s="120" t="s">
        <v>47</v>
      </c>
      <c r="M16" s="120" t="s">
        <v>43</v>
      </c>
      <c r="N16" s="120" t="s">
        <v>44</v>
      </c>
      <c r="O16" s="120" t="s">
        <v>45</v>
      </c>
      <c r="P16" s="120" t="s">
        <v>46</v>
      </c>
      <c r="Q16" s="417"/>
      <c r="R16" s="421"/>
      <c r="S16" s="422"/>
      <c r="T16" s="429"/>
    </row>
    <row r="17" spans="1:27" ht="30" customHeight="1">
      <c r="A17" s="345" t="s">
        <v>88</v>
      </c>
      <c r="B17" s="124">
        <v>1</v>
      </c>
      <c r="C17" s="295" t="s">
        <v>89</v>
      </c>
      <c r="D17" s="276" t="s">
        <v>90</v>
      </c>
      <c r="E17" s="276"/>
      <c r="F17" s="121" t="s">
        <v>51</v>
      </c>
      <c r="G17" s="122">
        <f>M9*M10*0.07</f>
        <v>344.54</v>
      </c>
      <c r="H17" s="123"/>
      <c r="I17" s="124"/>
      <c r="J17" s="124"/>
      <c r="K17" s="124"/>
      <c r="L17" s="125"/>
      <c r="M17" s="126"/>
      <c r="N17" s="124"/>
      <c r="O17" s="124"/>
      <c r="P17" s="125"/>
      <c r="Q17" s="128"/>
      <c r="R17" s="128"/>
      <c r="S17" s="341" t="s">
        <v>52</v>
      </c>
      <c r="T17" s="331" t="s">
        <v>52</v>
      </c>
      <c r="X17" s="111"/>
      <c r="Y17" s="91"/>
      <c r="Z17" s="93"/>
      <c r="AA17" s="296"/>
    </row>
    <row r="18" spans="1:27" ht="30" customHeight="1">
      <c r="A18" s="370"/>
      <c r="B18" s="114">
        <v>2</v>
      </c>
      <c r="C18" s="328" t="s">
        <v>401</v>
      </c>
      <c r="D18" s="328" t="s">
        <v>402</v>
      </c>
      <c r="E18" s="210"/>
      <c r="F18" s="129" t="s">
        <v>51</v>
      </c>
      <c r="G18" s="297">
        <f>M9*M10*0.02*0.9</f>
        <v>88.596000000000004</v>
      </c>
      <c r="H18" s="144"/>
      <c r="I18" s="114"/>
      <c r="J18" s="114"/>
      <c r="K18" s="114"/>
      <c r="L18" s="115"/>
      <c r="M18" s="140"/>
      <c r="N18" s="114"/>
      <c r="O18" s="114"/>
      <c r="P18" s="115"/>
      <c r="Q18" s="142"/>
      <c r="R18" s="142"/>
      <c r="S18" s="446"/>
      <c r="T18" s="453"/>
      <c r="U18" s="107"/>
      <c r="X18" s="94"/>
      <c r="Y18" s="107"/>
      <c r="Z18" s="93"/>
      <c r="AA18" s="296"/>
    </row>
    <row r="19" spans="1:27" ht="30" customHeight="1">
      <c r="A19" s="370"/>
      <c r="B19" s="114">
        <v>3</v>
      </c>
      <c r="C19" s="210" t="s">
        <v>91</v>
      </c>
      <c r="D19" s="210" t="s">
        <v>92</v>
      </c>
      <c r="E19" s="210"/>
      <c r="F19" s="298" t="s">
        <v>51</v>
      </c>
      <c r="G19" s="297">
        <f>M9*M10*0.02*0.1</f>
        <v>9.8440000000000012</v>
      </c>
      <c r="H19" s="144"/>
      <c r="I19" s="114"/>
      <c r="J19" s="114"/>
      <c r="K19" s="114"/>
      <c r="L19" s="115"/>
      <c r="M19" s="140"/>
      <c r="N19" s="114"/>
      <c r="O19" s="114"/>
      <c r="P19" s="115"/>
      <c r="Q19" s="142"/>
      <c r="R19" s="142"/>
      <c r="S19" s="446"/>
      <c r="T19" s="453"/>
      <c r="U19" s="107"/>
    </row>
    <row r="20" spans="1:27" ht="30" customHeight="1">
      <c r="A20" s="370"/>
      <c r="B20" s="114">
        <v>4</v>
      </c>
      <c r="C20" s="299"/>
      <c r="D20" s="148"/>
      <c r="E20" s="148"/>
      <c r="F20" s="300"/>
      <c r="G20" s="301"/>
      <c r="H20" s="144"/>
      <c r="I20" s="114"/>
      <c r="J20" s="114"/>
      <c r="K20" s="114"/>
      <c r="L20" s="115"/>
      <c r="M20" s="140"/>
      <c r="N20" s="114"/>
      <c r="O20" s="114"/>
      <c r="P20" s="115"/>
      <c r="Q20" s="142"/>
      <c r="R20" s="142"/>
      <c r="S20" s="446"/>
      <c r="T20" s="453"/>
      <c r="U20" s="107"/>
    </row>
    <row r="21" spans="1:27" ht="30" customHeight="1">
      <c r="A21" s="370"/>
      <c r="B21" s="114">
        <v>5</v>
      </c>
      <c r="C21" s="299"/>
      <c r="D21" s="148"/>
      <c r="E21" s="148"/>
      <c r="F21" s="300"/>
      <c r="G21" s="302"/>
      <c r="H21" s="144"/>
      <c r="I21" s="114"/>
      <c r="J21" s="114"/>
      <c r="K21" s="114"/>
      <c r="L21" s="115"/>
      <c r="M21" s="140"/>
      <c r="N21" s="114"/>
      <c r="O21" s="114"/>
      <c r="P21" s="115"/>
      <c r="Q21" s="142"/>
      <c r="R21" s="142"/>
      <c r="S21" s="446"/>
      <c r="T21" s="453"/>
      <c r="U21" s="107"/>
    </row>
    <row r="22" spans="1:27" ht="30" customHeight="1">
      <c r="A22" s="405"/>
      <c r="B22" s="116">
        <v>6</v>
      </c>
      <c r="C22" s="303"/>
      <c r="D22" s="217"/>
      <c r="E22" s="217"/>
      <c r="F22" s="304"/>
      <c r="G22" s="305"/>
      <c r="H22" s="163"/>
      <c r="I22" s="116"/>
      <c r="J22" s="116"/>
      <c r="K22" s="116"/>
      <c r="L22" s="164"/>
      <c r="M22" s="165"/>
      <c r="N22" s="116"/>
      <c r="O22" s="116"/>
      <c r="P22" s="164"/>
      <c r="Q22" s="167"/>
      <c r="R22" s="167"/>
      <c r="S22" s="447"/>
      <c r="T22" s="454"/>
      <c r="U22" s="107"/>
    </row>
    <row r="23" spans="1:27" ht="29.55" customHeight="1">
      <c r="A23" s="445" t="s">
        <v>79</v>
      </c>
      <c r="B23" s="412"/>
      <c r="C23" s="412"/>
      <c r="D23" s="412"/>
      <c r="E23" s="412"/>
      <c r="F23" s="412"/>
      <c r="G23" s="412"/>
      <c r="H23" s="412"/>
      <c r="I23" s="412"/>
      <c r="J23" s="412"/>
      <c r="K23" s="412"/>
      <c r="L23" s="412"/>
      <c r="M23" s="412"/>
      <c r="N23" s="412"/>
      <c r="O23" s="412"/>
      <c r="P23" s="412"/>
      <c r="Q23" s="412"/>
      <c r="R23" s="412"/>
      <c r="S23" s="412"/>
      <c r="T23" s="413"/>
    </row>
    <row r="24" spans="1:27" ht="29.55" customHeight="1">
      <c r="A24" s="414"/>
      <c r="B24" s="415"/>
      <c r="C24" s="415"/>
      <c r="D24" s="415"/>
      <c r="E24" s="415"/>
      <c r="F24" s="415"/>
      <c r="G24" s="415"/>
      <c r="H24" s="415"/>
      <c r="I24" s="415"/>
      <c r="J24" s="415"/>
      <c r="K24" s="415"/>
      <c r="L24" s="415"/>
      <c r="M24" s="415"/>
      <c r="N24" s="415"/>
      <c r="O24" s="415"/>
      <c r="P24" s="415"/>
      <c r="Q24" s="415"/>
      <c r="R24" s="415"/>
      <c r="S24" s="415"/>
      <c r="T24" s="416"/>
    </row>
    <row r="25" spans="1:27">
      <c r="C25" s="324" t="s">
        <v>399</v>
      </c>
      <c r="D25" s="324" t="s">
        <v>400</v>
      </c>
    </row>
    <row r="33" spans="8:8">
      <c r="H33" s="109" t="s">
        <v>82</v>
      </c>
    </row>
  </sheetData>
  <mergeCells count="69">
    <mergeCell ref="G15:G16"/>
    <mergeCell ref="I12:J12"/>
    <mergeCell ref="K12:L12"/>
    <mergeCell ref="M12:N12"/>
    <mergeCell ref="R7:R8"/>
    <mergeCell ref="P9:Q9"/>
    <mergeCell ref="I10:J10"/>
    <mergeCell ref="K10:L10"/>
    <mergeCell ref="M10:N10"/>
    <mergeCell ref="I11:J11"/>
    <mergeCell ref="K11:L11"/>
    <mergeCell ref="M11:N11"/>
    <mergeCell ref="M8:N8"/>
    <mergeCell ref="T7:T8"/>
    <mergeCell ref="T15:T16"/>
    <mergeCell ref="T17:T22"/>
    <mergeCell ref="S7:S8"/>
    <mergeCell ref="S15:S16"/>
    <mergeCell ref="A23:T24"/>
    <mergeCell ref="S17:S22"/>
    <mergeCell ref="A17:A22"/>
    <mergeCell ref="I13:J13"/>
    <mergeCell ref="K13:L13"/>
    <mergeCell ref="M13:N13"/>
    <mergeCell ref="A15:A16"/>
    <mergeCell ref="B15:B16"/>
    <mergeCell ref="C15:C16"/>
    <mergeCell ref="D15:D16"/>
    <mergeCell ref="F15:F16"/>
    <mergeCell ref="Q15:Q16"/>
    <mergeCell ref="R15:R16"/>
    <mergeCell ref="H15:L15"/>
    <mergeCell ref="M15:P15"/>
    <mergeCell ref="E15:E16"/>
    <mergeCell ref="A9:B9"/>
    <mergeCell ref="C9:G9"/>
    <mergeCell ref="I9:J9"/>
    <mergeCell ref="K9:L9"/>
    <mergeCell ref="M9:N9"/>
    <mergeCell ref="P6:Q6"/>
    <mergeCell ref="A7:B7"/>
    <mergeCell ref="C7:G7"/>
    <mergeCell ref="I7:J7"/>
    <mergeCell ref="K7:L7"/>
    <mergeCell ref="M7:N7"/>
    <mergeCell ref="A6:B6"/>
    <mergeCell ref="C6:G6"/>
    <mergeCell ref="I6:J6"/>
    <mergeCell ref="K6:L6"/>
    <mergeCell ref="M6:N6"/>
    <mergeCell ref="P7:Q8"/>
    <mergeCell ref="A8:B8"/>
    <mergeCell ref="C8:G8"/>
    <mergeCell ref="I8:J8"/>
    <mergeCell ref="K8:L8"/>
    <mergeCell ref="V4:W4"/>
    <mergeCell ref="A5:B5"/>
    <mergeCell ref="C5:G5"/>
    <mergeCell ref="I5:J5"/>
    <mergeCell ref="K5:L5"/>
    <mergeCell ref="M5:N5"/>
    <mergeCell ref="P5:R5"/>
    <mergeCell ref="S5:T5"/>
    <mergeCell ref="R1:T1"/>
    <mergeCell ref="R2:T2"/>
    <mergeCell ref="R3:T3"/>
    <mergeCell ref="A4:B4"/>
    <mergeCell ref="P4:T4"/>
    <mergeCell ref="A1:Q3"/>
  </mergeCells>
  <conditionalFormatting sqref="D17:E17">
    <cfRule type="duplicateValues" dxfId="81" priority="1" stopIfTrue="1"/>
    <cfRule type="duplicateValues" dxfId="80" priority="2" stopIfTrue="1"/>
    <cfRule type="duplicateValues" dxfId="79" priority="3" stopIfTrue="1"/>
    <cfRule type="duplicateValues" dxfId="78" priority="4" stopIfTrue="1"/>
    <cfRule type="duplicateValues" dxfId="77" priority="5"/>
  </conditionalFormatting>
  <printOptions horizontalCentered="1"/>
  <pageMargins left="0" right="0" top="0.75" bottom="0.75" header="0.3" footer="0.3"/>
  <pageSetup scale="55" orientation="landscape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pageSetUpPr fitToPage="1"/>
  </sheetPr>
  <dimension ref="A1:Y30"/>
  <sheetViews>
    <sheetView view="pageBreakPreview" topLeftCell="A3" zoomScale="80" zoomScaleNormal="100" zoomScaleSheetLayoutView="80" zoomScalePageLayoutView="80" workbookViewId="0">
      <selection activeCell="K9" sqref="K9:L9"/>
    </sheetView>
  </sheetViews>
  <sheetFormatPr defaultColWidth="8.88671875" defaultRowHeight="13.8"/>
  <cols>
    <col min="1" max="1" width="9.44140625" style="109" customWidth="1"/>
    <col min="2" max="2" width="6.109375" style="109" customWidth="1"/>
    <col min="3" max="3" width="23.44140625" style="109" customWidth="1"/>
    <col min="4" max="5" width="21.109375" style="109" customWidth="1"/>
    <col min="6" max="6" width="7.44140625" style="107" customWidth="1"/>
    <col min="7" max="7" width="10" style="109" customWidth="1"/>
    <col min="8" max="16" width="9.44140625" style="109" customWidth="1"/>
    <col min="17" max="17" width="10.109375" style="109" customWidth="1"/>
    <col min="18" max="18" width="18.33203125" style="109" customWidth="1"/>
    <col min="19" max="20" width="17.21875" style="109" customWidth="1"/>
    <col min="21" max="21" width="11.44140625" style="109" customWidth="1"/>
    <col min="22" max="23" width="10.44140625" style="109" customWidth="1"/>
    <col min="24" max="16384" width="8.88671875" style="109"/>
  </cols>
  <sheetData>
    <row r="1" spans="1:25" ht="17.25" customHeight="1">
      <c r="A1" s="351" t="s">
        <v>0</v>
      </c>
      <c r="B1" s="352"/>
      <c r="C1" s="352"/>
      <c r="D1" s="352"/>
      <c r="E1" s="352"/>
      <c r="F1" s="352"/>
      <c r="G1" s="352"/>
      <c r="H1" s="352"/>
      <c r="I1" s="352"/>
      <c r="J1" s="352"/>
      <c r="K1" s="352"/>
      <c r="L1" s="352"/>
      <c r="M1" s="352"/>
      <c r="N1" s="352"/>
      <c r="O1" s="352"/>
      <c r="P1" s="352"/>
      <c r="Q1" s="353"/>
      <c r="R1" s="329" t="s">
        <v>1</v>
      </c>
      <c r="S1" s="330"/>
      <c r="T1" s="331"/>
    </row>
    <row r="2" spans="1:25" ht="17.25" customHeight="1">
      <c r="A2" s="354"/>
      <c r="B2" s="355"/>
      <c r="C2" s="355"/>
      <c r="D2" s="355"/>
      <c r="E2" s="355"/>
      <c r="F2" s="355"/>
      <c r="G2" s="355"/>
      <c r="H2" s="355"/>
      <c r="I2" s="355"/>
      <c r="J2" s="355"/>
      <c r="K2" s="355"/>
      <c r="L2" s="355"/>
      <c r="M2" s="355"/>
      <c r="N2" s="355"/>
      <c r="O2" s="355"/>
      <c r="P2" s="355"/>
      <c r="Q2" s="356"/>
      <c r="R2" s="332" t="s">
        <v>2</v>
      </c>
      <c r="S2" s="333"/>
      <c r="T2" s="334"/>
    </row>
    <row r="3" spans="1:25" ht="17.25" customHeight="1">
      <c r="A3" s="357"/>
      <c r="B3" s="358"/>
      <c r="C3" s="358"/>
      <c r="D3" s="358"/>
      <c r="E3" s="358"/>
      <c r="F3" s="358"/>
      <c r="G3" s="358"/>
      <c r="H3" s="358"/>
      <c r="I3" s="358"/>
      <c r="J3" s="358"/>
      <c r="K3" s="358"/>
      <c r="L3" s="358"/>
      <c r="M3" s="358"/>
      <c r="N3" s="358"/>
      <c r="O3" s="358"/>
      <c r="P3" s="358"/>
      <c r="Q3" s="359"/>
      <c r="R3" s="335" t="s">
        <v>3</v>
      </c>
      <c r="S3" s="336"/>
      <c r="T3" s="337"/>
    </row>
    <row r="4" spans="1:25" ht="15.75" customHeight="1">
      <c r="A4" s="338"/>
      <c r="B4" s="338"/>
      <c r="C4" s="110"/>
      <c r="D4" s="110"/>
      <c r="E4" s="110"/>
      <c r="F4" s="110"/>
      <c r="H4" s="111"/>
      <c r="I4" s="111"/>
      <c r="J4" s="111"/>
      <c r="K4" s="111"/>
      <c r="L4" s="111"/>
      <c r="M4" s="111"/>
      <c r="N4" s="111"/>
      <c r="O4" s="111"/>
      <c r="P4" s="339"/>
      <c r="Q4" s="339"/>
      <c r="R4" s="339"/>
      <c r="S4" s="339"/>
      <c r="T4" s="339"/>
      <c r="U4" s="111"/>
      <c r="V4" s="338"/>
      <c r="W4" s="338"/>
    </row>
    <row r="5" spans="1:25" s="91" customFormat="1" ht="18.45" customHeight="1">
      <c r="A5" s="340" t="s">
        <v>4</v>
      </c>
      <c r="B5" s="341"/>
      <c r="C5" s="342" t="str">
        <f>In!C5:G5</f>
        <v xml:space="preserve">NHÀ MÁY SX TINH BỘT SẮN TÂN CHÂU-CN CÔNG TY CPNS THỰC PHẨM QUẢNG NGÃI					</v>
      </c>
      <c r="D5" s="343"/>
      <c r="E5" s="343"/>
      <c r="F5" s="343"/>
      <c r="G5" s="344"/>
      <c r="I5" s="345" t="s">
        <v>5</v>
      </c>
      <c r="J5" s="346"/>
      <c r="K5" s="346" t="s">
        <v>6</v>
      </c>
      <c r="L5" s="346"/>
      <c r="M5" s="346" t="s">
        <v>7</v>
      </c>
      <c r="N5" s="347"/>
      <c r="P5" s="348" t="s">
        <v>8</v>
      </c>
      <c r="Q5" s="349"/>
      <c r="R5" s="349"/>
      <c r="S5" s="349" t="s">
        <v>9</v>
      </c>
      <c r="T5" s="350"/>
      <c r="U5" s="112"/>
      <c r="V5" s="112" t="s">
        <v>83</v>
      </c>
      <c r="W5" s="112" t="s">
        <v>84</v>
      </c>
      <c r="X5" s="91" t="s">
        <v>85</v>
      </c>
      <c r="Y5" s="91" t="s">
        <v>86</v>
      </c>
    </row>
    <row r="6" spans="1:25" s="91" customFormat="1" ht="18.45" customHeight="1">
      <c r="A6" s="360" t="s">
        <v>10</v>
      </c>
      <c r="B6" s="361"/>
      <c r="C6" s="374" t="str">
        <f>In!C6:G6</f>
        <v>Bao giấy 25kg AM-20 Tân Châu</v>
      </c>
      <c r="D6" s="375"/>
      <c r="E6" s="375"/>
      <c r="F6" s="375"/>
      <c r="G6" s="376"/>
      <c r="I6" s="440" t="s">
        <v>11</v>
      </c>
      <c r="J6" s="441"/>
      <c r="K6" s="442" t="s">
        <v>12</v>
      </c>
      <c r="L6" s="442"/>
      <c r="M6" s="443">
        <f>In!M6:N6</f>
        <v>5000</v>
      </c>
      <c r="N6" s="444"/>
      <c r="P6" s="370" t="s">
        <v>13</v>
      </c>
      <c r="Q6" s="371"/>
      <c r="R6" s="114" t="s">
        <v>14</v>
      </c>
      <c r="S6" s="114" t="s">
        <v>15</v>
      </c>
      <c r="T6" s="115" t="s">
        <v>14</v>
      </c>
      <c r="U6" s="112"/>
      <c r="V6" s="112"/>
      <c r="W6" s="112"/>
    </row>
    <row r="7" spans="1:25" s="91" customFormat="1" ht="18.45" customHeight="1">
      <c r="A7" s="360" t="s">
        <v>16</v>
      </c>
      <c r="B7" s="361"/>
      <c r="C7" s="374" t="str">
        <f>In!C7:G7</f>
        <v>BT1KH00563KP0004</v>
      </c>
      <c r="D7" s="375"/>
      <c r="E7" s="375"/>
      <c r="F7" s="375"/>
      <c r="G7" s="376"/>
      <c r="I7" s="440" t="s">
        <v>87</v>
      </c>
      <c r="J7" s="441"/>
      <c r="K7" s="442" t="s">
        <v>18</v>
      </c>
      <c r="L7" s="442"/>
      <c r="M7" s="377">
        <f>In!M7:N7</f>
        <v>0.92</v>
      </c>
      <c r="N7" s="378"/>
      <c r="P7" s="435"/>
      <c r="Q7" s="436"/>
      <c r="R7" s="418"/>
      <c r="S7" s="418"/>
      <c r="T7" s="427"/>
      <c r="U7" s="111"/>
      <c r="V7" s="111"/>
      <c r="W7" s="111"/>
    </row>
    <row r="8" spans="1:25" s="91" customFormat="1" ht="18.45" customHeight="1">
      <c r="A8" s="360" t="s">
        <v>19</v>
      </c>
      <c r="B8" s="361"/>
      <c r="C8" s="374" t="str">
        <f>In!C8:G8</f>
        <v>26BA2HKH00563000029</v>
      </c>
      <c r="D8" s="375"/>
      <c r="E8" s="375"/>
      <c r="F8" s="375"/>
      <c r="G8" s="376"/>
      <c r="I8" s="440" t="s">
        <v>20</v>
      </c>
      <c r="J8" s="441"/>
      <c r="K8" s="442" t="s">
        <v>18</v>
      </c>
      <c r="L8" s="442"/>
      <c r="M8" s="377">
        <f>In!M8:N8</f>
        <v>0.5</v>
      </c>
      <c r="N8" s="378"/>
      <c r="P8" s="437"/>
      <c r="Q8" s="438"/>
      <c r="R8" s="419"/>
      <c r="S8" s="419"/>
      <c r="T8" s="428"/>
      <c r="U8" s="111"/>
      <c r="V8" s="111"/>
      <c r="W8" s="111"/>
    </row>
    <row r="9" spans="1:25" s="91" customFormat="1" ht="18.45" customHeight="1">
      <c r="A9" s="379" t="s">
        <v>21</v>
      </c>
      <c r="B9" s="380"/>
      <c r="C9" s="381" t="str">
        <f>In!C9</f>
        <v>SX2607045</v>
      </c>
      <c r="D9" s="382"/>
      <c r="E9" s="382"/>
      <c r="F9" s="382"/>
      <c r="G9" s="383"/>
      <c r="I9" s="440" t="str">
        <f>In!I9:J9</f>
        <v>Số lượng in thực tế</v>
      </c>
      <c r="J9" s="441"/>
      <c r="K9" s="442" t="s">
        <v>18</v>
      </c>
      <c r="L9" s="442"/>
      <c r="M9" s="443">
        <f>Tráng!M9</f>
        <v>4600</v>
      </c>
      <c r="N9" s="444"/>
      <c r="P9" s="405" t="s">
        <v>358</v>
      </c>
      <c r="Q9" s="439"/>
      <c r="R9" s="116" t="s">
        <v>358</v>
      </c>
      <c r="S9" s="105"/>
      <c r="T9" s="117"/>
      <c r="U9" s="111"/>
      <c r="V9" s="111"/>
      <c r="W9" s="111"/>
    </row>
    <row r="10" spans="1:25" s="91" customFormat="1" ht="18.45" customHeight="1">
      <c r="A10" s="93"/>
      <c r="B10" s="93"/>
      <c r="C10" s="111"/>
      <c r="D10" s="107"/>
      <c r="E10" s="107"/>
      <c r="F10" s="107"/>
      <c r="G10" s="107"/>
      <c r="I10" s="440" t="s">
        <v>26</v>
      </c>
      <c r="J10" s="441"/>
      <c r="K10" s="442" t="s">
        <v>18</v>
      </c>
      <c r="L10" s="442"/>
      <c r="M10" s="377">
        <f>M8*2+0.06</f>
        <v>1.06</v>
      </c>
      <c r="N10" s="378"/>
      <c r="U10" s="111"/>
      <c r="V10" s="111"/>
      <c r="W10" s="111"/>
    </row>
    <row r="11" spans="1:25" s="91" customFormat="1" ht="18.45" customHeight="1">
      <c r="A11" s="93"/>
      <c r="B11" s="93"/>
      <c r="C11" s="111"/>
      <c r="D11" s="107"/>
      <c r="E11" s="107"/>
      <c r="F11" s="107"/>
      <c r="G11" s="107"/>
      <c r="I11" s="440" t="s">
        <v>27</v>
      </c>
      <c r="J11" s="441"/>
      <c r="K11" s="442" t="s">
        <v>18</v>
      </c>
      <c r="L11" s="442"/>
      <c r="M11" s="377"/>
      <c r="N11" s="378"/>
      <c r="U11" s="111"/>
      <c r="V11" s="111"/>
      <c r="W11" s="111"/>
    </row>
    <row r="12" spans="1:25" s="91" customFormat="1" ht="18.45" customHeight="1">
      <c r="A12" s="93"/>
      <c r="B12" s="93"/>
      <c r="C12" s="111"/>
      <c r="D12" s="107"/>
      <c r="E12" s="107"/>
      <c r="F12" s="107"/>
      <c r="G12" s="107"/>
      <c r="I12" s="440" t="s">
        <v>28</v>
      </c>
      <c r="J12" s="441"/>
      <c r="K12" s="442" t="s">
        <v>18</v>
      </c>
      <c r="L12" s="442"/>
      <c r="M12" s="377"/>
      <c r="N12" s="378"/>
      <c r="U12" s="111"/>
      <c r="V12" s="111"/>
      <c r="W12" s="111"/>
    </row>
    <row r="13" spans="1:25" s="91" customFormat="1" ht="18.45" customHeight="1">
      <c r="A13" s="93"/>
      <c r="B13" s="93"/>
      <c r="C13" s="111"/>
      <c r="D13" s="107"/>
      <c r="E13" s="107"/>
      <c r="F13" s="107"/>
      <c r="G13" s="107"/>
      <c r="I13" s="448" t="s">
        <v>29</v>
      </c>
      <c r="J13" s="449"/>
      <c r="K13" s="450" t="s">
        <v>30</v>
      </c>
      <c r="L13" s="450"/>
      <c r="M13" s="451">
        <f>In!M14:N14</f>
        <v>4.1000000000000002E-2</v>
      </c>
      <c r="N13" s="452"/>
      <c r="U13" s="111"/>
      <c r="V13" s="111"/>
      <c r="W13" s="111"/>
    </row>
    <row r="14" spans="1:25" ht="15.45" customHeight="1" thickBot="1">
      <c r="A14" s="94"/>
      <c r="B14" s="119"/>
      <c r="C14" s="119"/>
      <c r="D14" s="119"/>
      <c r="E14" s="119"/>
      <c r="H14" s="110"/>
      <c r="I14" s="110"/>
      <c r="J14" s="110"/>
      <c r="K14" s="110"/>
      <c r="L14" s="110"/>
      <c r="M14" s="110"/>
      <c r="N14" s="110"/>
      <c r="O14" s="110"/>
      <c r="P14" s="110"/>
      <c r="Q14" s="110"/>
      <c r="R14" s="110"/>
      <c r="S14" s="110"/>
      <c r="T14" s="110"/>
      <c r="U14" s="110"/>
      <c r="V14" s="110"/>
      <c r="W14" s="94"/>
    </row>
    <row r="15" spans="1:25" ht="31.95" customHeight="1">
      <c r="A15" s="351" t="s">
        <v>31</v>
      </c>
      <c r="B15" s="352" t="s">
        <v>32</v>
      </c>
      <c r="C15" s="352" t="s">
        <v>33</v>
      </c>
      <c r="D15" s="352" t="s">
        <v>34</v>
      </c>
      <c r="E15" s="397" t="s">
        <v>362</v>
      </c>
      <c r="F15" s="352" t="s">
        <v>35</v>
      </c>
      <c r="G15" s="352" t="s">
        <v>36</v>
      </c>
      <c r="H15" s="392" t="s">
        <v>37</v>
      </c>
      <c r="I15" s="393"/>
      <c r="J15" s="393"/>
      <c r="K15" s="393"/>
      <c r="L15" s="394"/>
      <c r="M15" s="392" t="s">
        <v>38</v>
      </c>
      <c r="N15" s="393"/>
      <c r="O15" s="393"/>
      <c r="P15" s="394"/>
      <c r="Q15" s="392" t="s">
        <v>39</v>
      </c>
      <c r="R15" s="420" t="s">
        <v>40</v>
      </c>
      <c r="S15" s="394" t="s">
        <v>41</v>
      </c>
      <c r="T15" s="350" t="s">
        <v>42</v>
      </c>
    </row>
    <row r="16" spans="1:25" ht="31.95" customHeight="1" thickBot="1">
      <c r="A16" s="357"/>
      <c r="B16" s="358"/>
      <c r="C16" s="358"/>
      <c r="D16" s="358"/>
      <c r="E16" s="398"/>
      <c r="F16" s="358"/>
      <c r="G16" s="358"/>
      <c r="H16" s="120" t="s">
        <v>43</v>
      </c>
      <c r="I16" s="120" t="s">
        <v>44</v>
      </c>
      <c r="J16" s="120" t="s">
        <v>45</v>
      </c>
      <c r="K16" s="120" t="s">
        <v>46</v>
      </c>
      <c r="L16" s="120" t="s">
        <v>47</v>
      </c>
      <c r="M16" s="120" t="s">
        <v>43</v>
      </c>
      <c r="N16" s="120" t="s">
        <v>44</v>
      </c>
      <c r="O16" s="120" t="s">
        <v>45</v>
      </c>
      <c r="P16" s="120" t="s">
        <v>46</v>
      </c>
      <c r="Q16" s="417"/>
      <c r="R16" s="421"/>
      <c r="S16" s="422"/>
      <c r="T16" s="429"/>
    </row>
    <row r="17" spans="1:21" ht="31.95" customHeight="1">
      <c r="A17" s="345" t="s">
        <v>93</v>
      </c>
      <c r="B17" s="124">
        <v>1</v>
      </c>
      <c r="C17" s="276">
        <v>9415</v>
      </c>
      <c r="D17" s="276" t="s">
        <v>360</v>
      </c>
      <c r="E17" s="276"/>
      <c r="F17" s="124" t="s">
        <v>51</v>
      </c>
      <c r="G17" s="292">
        <f>M9*0.6*3.314/1000</f>
        <v>9.1466399999999997</v>
      </c>
      <c r="H17" s="126"/>
      <c r="I17" s="124"/>
      <c r="J17" s="124"/>
      <c r="K17" s="124"/>
      <c r="L17" s="125"/>
      <c r="M17" s="126"/>
      <c r="N17" s="124"/>
      <c r="O17" s="124"/>
      <c r="P17" s="125"/>
      <c r="Q17" s="128"/>
      <c r="R17" s="123"/>
      <c r="S17" s="330" t="s">
        <v>95</v>
      </c>
      <c r="T17" s="331" t="s">
        <v>95</v>
      </c>
      <c r="U17" s="107"/>
    </row>
    <row r="18" spans="1:21" ht="31.95" customHeight="1">
      <c r="A18" s="370"/>
      <c r="B18" s="114">
        <v>2</v>
      </c>
      <c r="C18" s="210" t="s">
        <v>96</v>
      </c>
      <c r="D18" s="210" t="s">
        <v>97</v>
      </c>
      <c r="E18" s="210"/>
      <c r="F18" s="129" t="s">
        <v>51</v>
      </c>
      <c r="G18" s="293">
        <f>M9*0.4*3.314/1000</f>
        <v>6.0977600000000001</v>
      </c>
      <c r="H18" s="140"/>
      <c r="I18" s="114"/>
      <c r="J18" s="114"/>
      <c r="K18" s="114"/>
      <c r="L18" s="115"/>
      <c r="M18" s="140"/>
      <c r="N18" s="114"/>
      <c r="O18" s="114"/>
      <c r="P18" s="115"/>
      <c r="Q18" s="142"/>
      <c r="R18" s="144"/>
      <c r="S18" s="441"/>
      <c r="T18" s="453"/>
      <c r="U18" s="107"/>
    </row>
    <row r="19" spans="1:21" ht="31.95" customHeight="1">
      <c r="A19" s="405"/>
      <c r="B19" s="116">
        <v>3</v>
      </c>
      <c r="C19" s="217" t="s">
        <v>98</v>
      </c>
      <c r="D19" s="217" t="s">
        <v>99</v>
      </c>
      <c r="E19" s="217"/>
      <c r="F19" s="232" t="s">
        <v>51</v>
      </c>
      <c r="G19" s="294">
        <v>0</v>
      </c>
      <c r="H19" s="165"/>
      <c r="I19" s="116"/>
      <c r="J19" s="116"/>
      <c r="K19" s="116"/>
      <c r="L19" s="164"/>
      <c r="M19" s="165"/>
      <c r="N19" s="116"/>
      <c r="O19" s="116"/>
      <c r="P19" s="164"/>
      <c r="Q19" s="167"/>
      <c r="R19" s="163"/>
      <c r="S19" s="449"/>
      <c r="T19" s="454"/>
      <c r="U19" s="108"/>
    </row>
    <row r="20" spans="1:21" ht="31.95" customHeight="1">
      <c r="A20" s="445" t="s">
        <v>79</v>
      </c>
      <c r="B20" s="412"/>
      <c r="C20" s="412"/>
      <c r="D20" s="412"/>
      <c r="E20" s="412"/>
      <c r="F20" s="412"/>
      <c r="G20" s="412"/>
      <c r="H20" s="412"/>
      <c r="I20" s="412"/>
      <c r="J20" s="412"/>
      <c r="K20" s="412"/>
      <c r="L20" s="412"/>
      <c r="M20" s="412"/>
      <c r="N20" s="412"/>
      <c r="O20" s="412"/>
      <c r="P20" s="412"/>
      <c r="Q20" s="412"/>
      <c r="R20" s="412"/>
      <c r="S20" s="412"/>
      <c r="T20" s="413"/>
    </row>
    <row r="21" spans="1:21" ht="31.95" customHeight="1">
      <c r="A21" s="414"/>
      <c r="B21" s="415"/>
      <c r="C21" s="415"/>
      <c r="D21" s="415"/>
      <c r="E21" s="415"/>
      <c r="F21" s="415"/>
      <c r="G21" s="415"/>
      <c r="H21" s="415"/>
      <c r="I21" s="415"/>
      <c r="J21" s="415"/>
      <c r="K21" s="415"/>
      <c r="L21" s="415"/>
      <c r="M21" s="415"/>
      <c r="N21" s="415"/>
      <c r="O21" s="415"/>
      <c r="P21" s="415"/>
      <c r="Q21" s="415"/>
      <c r="R21" s="415"/>
      <c r="S21" s="415"/>
      <c r="T21" s="416"/>
    </row>
    <row r="30" spans="1:21">
      <c r="H30" s="109" t="s">
        <v>82</v>
      </c>
    </row>
  </sheetData>
  <mergeCells count="69">
    <mergeCell ref="G15:G16"/>
    <mergeCell ref="I12:J12"/>
    <mergeCell ref="K12:L12"/>
    <mergeCell ref="M12:N12"/>
    <mergeCell ref="R7:R8"/>
    <mergeCell ref="P9:Q9"/>
    <mergeCell ref="I10:J10"/>
    <mergeCell ref="K10:L10"/>
    <mergeCell ref="M10:N10"/>
    <mergeCell ref="I11:J11"/>
    <mergeCell ref="K11:L11"/>
    <mergeCell ref="M11:N11"/>
    <mergeCell ref="M8:N8"/>
    <mergeCell ref="T7:T8"/>
    <mergeCell ref="T15:T16"/>
    <mergeCell ref="T17:T19"/>
    <mergeCell ref="S7:S8"/>
    <mergeCell ref="S15:S16"/>
    <mergeCell ref="A20:T21"/>
    <mergeCell ref="S17:S19"/>
    <mergeCell ref="A17:A19"/>
    <mergeCell ref="I13:J13"/>
    <mergeCell ref="K13:L13"/>
    <mergeCell ref="M13:N13"/>
    <mergeCell ref="A15:A16"/>
    <mergeCell ref="B15:B16"/>
    <mergeCell ref="C15:C16"/>
    <mergeCell ref="D15:D16"/>
    <mergeCell ref="F15:F16"/>
    <mergeCell ref="Q15:Q16"/>
    <mergeCell ref="R15:R16"/>
    <mergeCell ref="H15:L15"/>
    <mergeCell ref="M15:P15"/>
    <mergeCell ref="E15:E16"/>
    <mergeCell ref="A9:B9"/>
    <mergeCell ref="C9:G9"/>
    <mergeCell ref="I9:J9"/>
    <mergeCell ref="K9:L9"/>
    <mergeCell ref="M9:N9"/>
    <mergeCell ref="P6:Q6"/>
    <mergeCell ref="A7:B7"/>
    <mergeCell ref="C7:G7"/>
    <mergeCell ref="I7:J7"/>
    <mergeCell ref="K7:L7"/>
    <mergeCell ref="M7:N7"/>
    <mergeCell ref="A6:B6"/>
    <mergeCell ref="C6:G6"/>
    <mergeCell ref="I6:J6"/>
    <mergeCell ref="K6:L6"/>
    <mergeCell ref="M6:N6"/>
    <mergeCell ref="P7:Q8"/>
    <mergeCell ref="A8:B8"/>
    <mergeCell ref="C8:G8"/>
    <mergeCell ref="I8:J8"/>
    <mergeCell ref="K8:L8"/>
    <mergeCell ref="V4:W4"/>
    <mergeCell ref="A5:B5"/>
    <mergeCell ref="C5:G5"/>
    <mergeCell ref="I5:J5"/>
    <mergeCell ref="K5:L5"/>
    <mergeCell ref="M5:N5"/>
    <mergeCell ref="P5:R5"/>
    <mergeCell ref="S5:T5"/>
    <mergeCell ref="R1:T1"/>
    <mergeCell ref="R2:T2"/>
    <mergeCell ref="R3:T3"/>
    <mergeCell ref="A4:B4"/>
    <mergeCell ref="P4:T4"/>
    <mergeCell ref="A1:Q3"/>
  </mergeCells>
  <printOptions horizontalCentered="1"/>
  <pageMargins left="0" right="0" top="0.75" bottom="0.75" header="0.3" footer="0.3"/>
  <pageSetup scale="55" orientation="landscape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  <pageSetUpPr fitToPage="1"/>
  </sheetPr>
  <dimension ref="A1:AA31"/>
  <sheetViews>
    <sheetView view="pageBreakPreview" zoomScale="70" zoomScaleNormal="100" zoomScalePageLayoutView="80" workbookViewId="0">
      <selection activeCell="M9" sqref="M9:N9"/>
    </sheetView>
  </sheetViews>
  <sheetFormatPr defaultColWidth="8.88671875" defaultRowHeight="13.8"/>
  <cols>
    <col min="1" max="1" width="9.44140625" style="109" customWidth="1"/>
    <col min="2" max="2" width="6.109375" style="109" customWidth="1"/>
    <col min="3" max="3" width="23.44140625" style="109" customWidth="1"/>
    <col min="4" max="5" width="21.109375" style="109" customWidth="1"/>
    <col min="6" max="6" width="7.44140625" style="107" customWidth="1"/>
    <col min="7" max="7" width="10" style="109" customWidth="1"/>
    <col min="8" max="16" width="9.44140625" style="109" customWidth="1"/>
    <col min="17" max="17" width="10.109375" style="109" customWidth="1"/>
    <col min="18" max="18" width="18.33203125" style="109" customWidth="1"/>
    <col min="19" max="20" width="17.21875" style="109" customWidth="1"/>
    <col min="21" max="21" width="11.44140625" style="109" customWidth="1"/>
    <col min="22" max="23" width="10.44140625" style="109" customWidth="1"/>
    <col min="24" max="16384" width="8.88671875" style="109"/>
  </cols>
  <sheetData>
    <row r="1" spans="1:25" ht="17.25" customHeight="1">
      <c r="A1" s="351" t="s">
        <v>0</v>
      </c>
      <c r="B1" s="352"/>
      <c r="C1" s="352"/>
      <c r="D1" s="352"/>
      <c r="E1" s="352"/>
      <c r="F1" s="352"/>
      <c r="G1" s="352"/>
      <c r="H1" s="352"/>
      <c r="I1" s="352"/>
      <c r="J1" s="352"/>
      <c r="K1" s="352"/>
      <c r="L1" s="352"/>
      <c r="M1" s="352"/>
      <c r="N1" s="352"/>
      <c r="O1" s="352"/>
      <c r="P1" s="352"/>
      <c r="Q1" s="353"/>
      <c r="R1" s="329" t="s">
        <v>1</v>
      </c>
      <c r="S1" s="330"/>
      <c r="T1" s="331"/>
    </row>
    <row r="2" spans="1:25" ht="17.25" customHeight="1">
      <c r="A2" s="354"/>
      <c r="B2" s="355"/>
      <c r="C2" s="355"/>
      <c r="D2" s="355"/>
      <c r="E2" s="355"/>
      <c r="F2" s="355"/>
      <c r="G2" s="355"/>
      <c r="H2" s="355"/>
      <c r="I2" s="355"/>
      <c r="J2" s="355"/>
      <c r="K2" s="355"/>
      <c r="L2" s="355"/>
      <c r="M2" s="355"/>
      <c r="N2" s="355"/>
      <c r="O2" s="355"/>
      <c r="P2" s="355"/>
      <c r="Q2" s="356"/>
      <c r="R2" s="332" t="s">
        <v>2</v>
      </c>
      <c r="S2" s="333"/>
      <c r="T2" s="334"/>
    </row>
    <row r="3" spans="1:25" ht="17.25" customHeight="1">
      <c r="A3" s="357"/>
      <c r="B3" s="358"/>
      <c r="C3" s="358"/>
      <c r="D3" s="358"/>
      <c r="E3" s="358"/>
      <c r="F3" s="358"/>
      <c r="G3" s="358"/>
      <c r="H3" s="358"/>
      <c r="I3" s="358"/>
      <c r="J3" s="358"/>
      <c r="K3" s="358"/>
      <c r="L3" s="358"/>
      <c r="M3" s="358"/>
      <c r="N3" s="358"/>
      <c r="O3" s="358"/>
      <c r="P3" s="358"/>
      <c r="Q3" s="359"/>
      <c r="R3" s="335" t="s">
        <v>3</v>
      </c>
      <c r="S3" s="336"/>
      <c r="T3" s="337"/>
    </row>
    <row r="4" spans="1:25" ht="15.75" customHeight="1">
      <c r="A4" s="338"/>
      <c r="B4" s="338"/>
      <c r="C4" s="110"/>
      <c r="D4" s="110"/>
      <c r="E4" s="110"/>
      <c r="F4" s="110"/>
      <c r="H4" s="111"/>
      <c r="I4" s="111"/>
      <c r="J4" s="111"/>
      <c r="K4" s="111"/>
      <c r="L4" s="111"/>
      <c r="M4" s="111"/>
      <c r="N4" s="111"/>
      <c r="O4" s="111"/>
      <c r="P4" s="339"/>
      <c r="Q4" s="339"/>
      <c r="R4" s="339"/>
      <c r="S4" s="339"/>
      <c r="T4" s="339"/>
      <c r="U4" s="111"/>
      <c r="V4" s="338"/>
      <c r="W4" s="338"/>
    </row>
    <row r="5" spans="1:25" s="91" customFormat="1" ht="16.95" customHeight="1">
      <c r="A5" s="340" t="s">
        <v>4</v>
      </c>
      <c r="B5" s="341"/>
      <c r="C5" s="342" t="str">
        <f>In!C5:G5</f>
        <v xml:space="preserve">NHÀ MÁY SX TINH BỘT SẮN TÂN CHÂU-CN CÔNG TY CPNS THỰC PHẨM QUẢNG NGÃI					</v>
      </c>
      <c r="D5" s="343"/>
      <c r="E5" s="343"/>
      <c r="F5" s="343"/>
      <c r="G5" s="344"/>
      <c r="I5" s="345" t="s">
        <v>5</v>
      </c>
      <c r="J5" s="346"/>
      <c r="K5" s="346" t="s">
        <v>6</v>
      </c>
      <c r="L5" s="346"/>
      <c r="M5" s="346" t="s">
        <v>7</v>
      </c>
      <c r="N5" s="347"/>
      <c r="P5" s="348" t="s">
        <v>8</v>
      </c>
      <c r="Q5" s="349"/>
      <c r="R5" s="349"/>
      <c r="S5" s="349" t="s">
        <v>9</v>
      </c>
      <c r="T5" s="350"/>
      <c r="U5" s="112"/>
      <c r="V5" s="112" t="s">
        <v>83</v>
      </c>
      <c r="W5" s="112" t="s">
        <v>84</v>
      </c>
      <c r="X5" s="91" t="s">
        <v>85</v>
      </c>
      <c r="Y5" s="91" t="s">
        <v>86</v>
      </c>
    </row>
    <row r="6" spans="1:25" s="91" customFormat="1" ht="16.95" customHeight="1">
      <c r="A6" s="360" t="s">
        <v>10</v>
      </c>
      <c r="B6" s="361"/>
      <c r="C6" s="374" t="str">
        <f>In!C6:G6</f>
        <v>Bao giấy 25kg AM-20 Tân Châu</v>
      </c>
      <c r="D6" s="375"/>
      <c r="E6" s="375"/>
      <c r="F6" s="375"/>
      <c r="G6" s="376"/>
      <c r="I6" s="440" t="s">
        <v>11</v>
      </c>
      <c r="J6" s="441"/>
      <c r="K6" s="442" t="s">
        <v>12</v>
      </c>
      <c r="L6" s="442"/>
      <c r="M6" s="443">
        <f>Tráng!M6:N6</f>
        <v>5000</v>
      </c>
      <c r="N6" s="444"/>
      <c r="P6" s="370" t="s">
        <v>13</v>
      </c>
      <c r="Q6" s="371"/>
      <c r="R6" s="114" t="s">
        <v>14</v>
      </c>
      <c r="S6" s="114" t="s">
        <v>15</v>
      </c>
      <c r="T6" s="115" t="s">
        <v>14</v>
      </c>
      <c r="U6" s="112"/>
      <c r="V6" s="112"/>
      <c r="W6" s="112"/>
    </row>
    <row r="7" spans="1:25" s="91" customFormat="1" ht="16.95" customHeight="1">
      <c r="A7" s="360" t="s">
        <v>16</v>
      </c>
      <c r="B7" s="361"/>
      <c r="C7" s="374" t="str">
        <f>In!C7:G7</f>
        <v>BT1KH00563KP0004</v>
      </c>
      <c r="D7" s="375"/>
      <c r="E7" s="375"/>
      <c r="F7" s="375"/>
      <c r="G7" s="376"/>
      <c r="I7" s="440" t="s">
        <v>87</v>
      </c>
      <c r="J7" s="441"/>
      <c r="K7" s="442" t="s">
        <v>18</v>
      </c>
      <c r="L7" s="442"/>
      <c r="M7" s="377">
        <f>Tráng!M7:N7</f>
        <v>0.92</v>
      </c>
      <c r="N7" s="378"/>
      <c r="P7" s="435"/>
      <c r="Q7" s="436"/>
      <c r="R7" s="418"/>
      <c r="S7" s="418"/>
      <c r="T7" s="427"/>
      <c r="U7" s="111"/>
      <c r="V7" s="111"/>
      <c r="W7" s="111"/>
    </row>
    <row r="8" spans="1:25" s="91" customFormat="1" ht="16.95" customHeight="1">
      <c r="A8" s="360" t="s">
        <v>19</v>
      </c>
      <c r="B8" s="361"/>
      <c r="C8" s="374" t="str">
        <f>In!C8:G8</f>
        <v>26BA2HKH00563000029</v>
      </c>
      <c r="D8" s="375"/>
      <c r="E8" s="375"/>
      <c r="F8" s="375"/>
      <c r="G8" s="376"/>
      <c r="I8" s="440" t="s">
        <v>20</v>
      </c>
      <c r="J8" s="441"/>
      <c r="K8" s="442" t="s">
        <v>18</v>
      </c>
      <c r="L8" s="442"/>
      <c r="M8" s="377">
        <f>Tráng!M8:N8</f>
        <v>0.5</v>
      </c>
      <c r="N8" s="378"/>
      <c r="P8" s="437"/>
      <c r="Q8" s="438"/>
      <c r="R8" s="419"/>
      <c r="S8" s="419"/>
      <c r="T8" s="428"/>
      <c r="U8" s="111"/>
      <c r="V8" s="111"/>
      <c r="W8" s="111"/>
    </row>
    <row r="9" spans="1:25" s="91" customFormat="1" ht="16.95" customHeight="1">
      <c r="A9" s="379" t="s">
        <v>21</v>
      </c>
      <c r="B9" s="380"/>
      <c r="C9" s="381" t="str">
        <f>In!C9</f>
        <v>SX2607045</v>
      </c>
      <c r="D9" s="382"/>
      <c r="E9" s="382"/>
      <c r="F9" s="382"/>
      <c r="G9" s="383"/>
      <c r="I9" s="440" t="str">
        <f>In!I9:J9</f>
        <v>Số lượng in thực tế</v>
      </c>
      <c r="J9" s="441"/>
      <c r="K9" s="442" t="s">
        <v>18</v>
      </c>
      <c r="L9" s="442"/>
      <c r="M9" s="443">
        <f>Tráng!M9:N9</f>
        <v>4600</v>
      </c>
      <c r="N9" s="444"/>
      <c r="P9" s="405" t="s">
        <v>358</v>
      </c>
      <c r="Q9" s="439"/>
      <c r="R9" s="116" t="s">
        <v>358</v>
      </c>
      <c r="S9" s="105"/>
      <c r="T9" s="117"/>
      <c r="U9" s="111"/>
      <c r="V9" s="111"/>
      <c r="W9" s="111"/>
    </row>
    <row r="10" spans="1:25" s="91" customFormat="1" ht="16.95" customHeight="1">
      <c r="A10" s="93"/>
      <c r="B10" s="93"/>
      <c r="C10" s="111"/>
      <c r="D10" s="107"/>
      <c r="E10" s="107"/>
      <c r="F10" s="107"/>
      <c r="G10" s="107"/>
      <c r="I10" s="440" t="s">
        <v>26</v>
      </c>
      <c r="J10" s="441"/>
      <c r="K10" s="442" t="s">
        <v>18</v>
      </c>
      <c r="L10" s="442"/>
      <c r="M10" s="377">
        <f>Tráng!M10:N10</f>
        <v>1.07</v>
      </c>
      <c r="N10" s="378"/>
      <c r="U10" s="111"/>
      <c r="V10" s="111"/>
      <c r="W10" s="111"/>
    </row>
    <row r="11" spans="1:25" s="91" customFormat="1" ht="16.95" customHeight="1">
      <c r="A11" s="93"/>
      <c r="B11" s="93"/>
      <c r="C11" s="111"/>
      <c r="D11" s="107"/>
      <c r="E11" s="107"/>
      <c r="F11" s="107"/>
      <c r="G11" s="107"/>
      <c r="I11" s="440" t="s">
        <v>27</v>
      </c>
      <c r="J11" s="441"/>
      <c r="K11" s="442" t="s">
        <v>18</v>
      </c>
      <c r="L11" s="442"/>
      <c r="M11" s="377">
        <f>Tráng!M11:N11</f>
        <v>0</v>
      </c>
      <c r="N11" s="378"/>
      <c r="U11" s="111"/>
      <c r="V11" s="111"/>
      <c r="W11" s="111"/>
    </row>
    <row r="12" spans="1:25" s="91" customFormat="1" ht="16.95" customHeight="1">
      <c r="A12" s="93"/>
      <c r="B12" s="93"/>
      <c r="C12" s="111"/>
      <c r="D12" s="107"/>
      <c r="E12" s="107"/>
      <c r="F12" s="107"/>
      <c r="G12" s="107"/>
      <c r="I12" s="440" t="s">
        <v>28</v>
      </c>
      <c r="J12" s="441"/>
      <c r="K12" s="442" t="s">
        <v>18</v>
      </c>
      <c r="L12" s="442"/>
      <c r="M12" s="377"/>
      <c r="N12" s="378"/>
      <c r="U12" s="111"/>
      <c r="V12" s="111"/>
      <c r="W12" s="111"/>
    </row>
    <row r="13" spans="1:25" s="91" customFormat="1" ht="16.95" customHeight="1">
      <c r="A13" s="93"/>
      <c r="B13" s="93"/>
      <c r="C13" s="111"/>
      <c r="D13" s="107"/>
      <c r="E13" s="107"/>
      <c r="F13" s="107"/>
      <c r="G13" s="107"/>
      <c r="I13" s="448" t="s">
        <v>29</v>
      </c>
      <c r="J13" s="449"/>
      <c r="K13" s="450" t="s">
        <v>30</v>
      </c>
      <c r="L13" s="450"/>
      <c r="M13" s="451">
        <f>In!M14:N14</f>
        <v>4.1000000000000002E-2</v>
      </c>
      <c r="N13" s="452"/>
      <c r="U13" s="111"/>
      <c r="V13" s="111"/>
      <c r="W13" s="111"/>
    </row>
    <row r="14" spans="1:25" ht="15.45" customHeight="1" thickBot="1">
      <c r="A14" s="94"/>
      <c r="B14" s="119"/>
      <c r="C14" s="119"/>
      <c r="D14" s="119"/>
      <c r="E14" s="119"/>
      <c r="H14" s="110"/>
      <c r="I14" s="110"/>
      <c r="J14" s="110"/>
      <c r="K14" s="110"/>
      <c r="L14" s="110"/>
      <c r="M14" s="110"/>
      <c r="N14" s="110"/>
      <c r="O14" s="110"/>
      <c r="P14" s="110"/>
      <c r="Q14" s="110"/>
      <c r="R14" s="110"/>
      <c r="S14" s="110"/>
      <c r="T14" s="110"/>
      <c r="U14" s="110"/>
      <c r="V14" s="110"/>
      <c r="W14" s="94"/>
    </row>
    <row r="15" spans="1:25" ht="22.5" customHeight="1">
      <c r="A15" s="351" t="s">
        <v>31</v>
      </c>
      <c r="B15" s="352" t="s">
        <v>32</v>
      </c>
      <c r="C15" s="352" t="s">
        <v>33</v>
      </c>
      <c r="D15" s="352" t="s">
        <v>34</v>
      </c>
      <c r="E15" s="397" t="s">
        <v>362</v>
      </c>
      <c r="F15" s="352" t="s">
        <v>35</v>
      </c>
      <c r="G15" s="352" t="s">
        <v>36</v>
      </c>
      <c r="H15" s="392" t="s">
        <v>37</v>
      </c>
      <c r="I15" s="393"/>
      <c r="J15" s="393"/>
      <c r="K15" s="393"/>
      <c r="L15" s="394"/>
      <c r="M15" s="392" t="s">
        <v>38</v>
      </c>
      <c r="N15" s="393"/>
      <c r="O15" s="393"/>
      <c r="P15" s="394"/>
      <c r="Q15" s="392" t="s">
        <v>39</v>
      </c>
      <c r="R15" s="420" t="s">
        <v>40</v>
      </c>
      <c r="S15" s="394" t="s">
        <v>41</v>
      </c>
      <c r="T15" s="350" t="s">
        <v>42</v>
      </c>
    </row>
    <row r="16" spans="1:25" ht="22.5" customHeight="1" thickBot="1">
      <c r="A16" s="357"/>
      <c r="B16" s="358"/>
      <c r="C16" s="358"/>
      <c r="D16" s="358"/>
      <c r="E16" s="398"/>
      <c r="F16" s="358"/>
      <c r="G16" s="358"/>
      <c r="H16" s="120" t="s">
        <v>43</v>
      </c>
      <c r="I16" s="120" t="s">
        <v>44</v>
      </c>
      <c r="J16" s="120" t="s">
        <v>45</v>
      </c>
      <c r="K16" s="120" t="s">
        <v>46</v>
      </c>
      <c r="L16" s="120" t="s">
        <v>47</v>
      </c>
      <c r="M16" s="120" t="s">
        <v>43</v>
      </c>
      <c r="N16" s="120" t="s">
        <v>44</v>
      </c>
      <c r="O16" s="120" t="s">
        <v>45</v>
      </c>
      <c r="P16" s="120" t="s">
        <v>46</v>
      </c>
      <c r="Q16" s="417"/>
      <c r="R16" s="421"/>
      <c r="S16" s="422"/>
      <c r="T16" s="429"/>
    </row>
    <row r="17" spans="1:27" ht="31.8" customHeight="1">
      <c r="A17" s="457" t="s">
        <v>100</v>
      </c>
      <c r="B17" s="132">
        <v>1</v>
      </c>
      <c r="C17" s="281" t="s">
        <v>384</v>
      </c>
      <c r="D17" s="310" t="s">
        <v>403</v>
      </c>
      <c r="E17" s="281"/>
      <c r="F17" s="286" t="s">
        <v>51</v>
      </c>
      <c r="G17" s="287">
        <f>M6*M13</f>
        <v>205</v>
      </c>
      <c r="H17" s="134"/>
      <c r="I17" s="132"/>
      <c r="J17" s="132"/>
      <c r="K17" s="132"/>
      <c r="L17" s="133"/>
      <c r="M17" s="134"/>
      <c r="N17" s="132"/>
      <c r="O17" s="132"/>
      <c r="P17" s="133"/>
      <c r="Q17" s="136"/>
      <c r="R17" s="136"/>
      <c r="S17" s="455" t="s">
        <v>52</v>
      </c>
      <c r="T17" s="462" t="s">
        <v>52</v>
      </c>
      <c r="X17" s="93"/>
      <c r="Y17" s="94"/>
      <c r="Z17" s="93"/>
      <c r="AA17" s="145"/>
    </row>
    <row r="18" spans="1:27" ht="31.8" customHeight="1">
      <c r="A18" s="457"/>
      <c r="B18" s="114">
        <v>2</v>
      </c>
      <c r="C18" s="239" t="s">
        <v>101</v>
      </c>
      <c r="D18" s="210" t="s">
        <v>102</v>
      </c>
      <c r="E18" s="210"/>
      <c r="F18" s="149" t="s">
        <v>51</v>
      </c>
      <c r="G18" s="288">
        <f>M6*M13*1.05*0.107*0</f>
        <v>0</v>
      </c>
      <c r="H18" s="140"/>
      <c r="I18" s="114"/>
      <c r="J18" s="114"/>
      <c r="K18" s="114"/>
      <c r="L18" s="115"/>
      <c r="M18" s="140"/>
      <c r="N18" s="114"/>
      <c r="O18" s="114"/>
      <c r="P18" s="115"/>
      <c r="Q18" s="142"/>
      <c r="R18" s="142"/>
      <c r="S18" s="456"/>
      <c r="T18" s="463"/>
      <c r="X18" s="93"/>
      <c r="Y18" s="94"/>
      <c r="Z18" s="93"/>
      <c r="AA18" s="145"/>
    </row>
    <row r="19" spans="1:27" ht="31.8" customHeight="1">
      <c r="A19" s="457"/>
      <c r="B19" s="114">
        <v>3</v>
      </c>
      <c r="C19" s="458" t="s">
        <v>103</v>
      </c>
      <c r="D19" s="460" t="s">
        <v>104</v>
      </c>
      <c r="E19" s="279"/>
      <c r="F19" s="149" t="s">
        <v>51</v>
      </c>
      <c r="G19" s="289">
        <f>G17+G18</f>
        <v>205</v>
      </c>
      <c r="H19" s="140"/>
      <c r="I19" s="114"/>
      <c r="J19" s="114"/>
      <c r="K19" s="114"/>
      <c r="L19" s="115"/>
      <c r="M19" s="140"/>
      <c r="N19" s="114"/>
      <c r="O19" s="114"/>
      <c r="P19" s="115"/>
      <c r="Q19" s="142"/>
      <c r="R19" s="142"/>
      <c r="S19" s="456"/>
      <c r="T19" s="463"/>
      <c r="X19" s="93"/>
      <c r="Y19" s="94"/>
      <c r="Z19" s="93"/>
      <c r="AA19" s="145"/>
    </row>
    <row r="20" spans="1:27" ht="31.8" customHeight="1">
      <c r="A20" s="457"/>
      <c r="B20" s="154">
        <v>4</v>
      </c>
      <c r="C20" s="459"/>
      <c r="D20" s="461"/>
      <c r="E20" s="290"/>
      <c r="F20" s="282" t="s">
        <v>76</v>
      </c>
      <c r="G20" s="291">
        <f>G19/M13</f>
        <v>5000</v>
      </c>
      <c r="H20" s="156"/>
      <c r="I20" s="154"/>
      <c r="J20" s="154"/>
      <c r="K20" s="154"/>
      <c r="L20" s="155"/>
      <c r="M20" s="156"/>
      <c r="N20" s="154"/>
      <c r="O20" s="154"/>
      <c r="P20" s="155"/>
      <c r="Q20" s="158"/>
      <c r="R20" s="158"/>
      <c r="S20" s="456"/>
      <c r="T20" s="463"/>
      <c r="X20" s="93"/>
      <c r="Y20" s="94"/>
      <c r="Z20" s="93"/>
      <c r="AA20" s="145"/>
    </row>
    <row r="21" spans="1:27" ht="31.5" customHeight="1">
      <c r="A21" s="445" t="s">
        <v>79</v>
      </c>
      <c r="B21" s="412"/>
      <c r="C21" s="412"/>
      <c r="D21" s="412"/>
      <c r="E21" s="412"/>
      <c r="F21" s="412"/>
      <c r="G21" s="412"/>
      <c r="H21" s="412"/>
      <c r="I21" s="412"/>
      <c r="J21" s="412"/>
      <c r="K21" s="412"/>
      <c r="L21" s="412"/>
      <c r="M21" s="412"/>
      <c r="N21" s="412"/>
      <c r="O21" s="412"/>
      <c r="P21" s="412"/>
      <c r="Q21" s="412"/>
      <c r="R21" s="412"/>
      <c r="S21" s="412"/>
      <c r="T21" s="413"/>
    </row>
    <row r="22" spans="1:27" ht="31.2" customHeight="1" thickBot="1">
      <c r="A22" s="414"/>
      <c r="B22" s="415"/>
      <c r="C22" s="415"/>
      <c r="D22" s="415"/>
      <c r="E22" s="415"/>
      <c r="F22" s="415"/>
      <c r="G22" s="415"/>
      <c r="H22" s="415"/>
      <c r="I22" s="415"/>
      <c r="J22" s="415"/>
      <c r="K22" s="415"/>
      <c r="L22" s="415"/>
      <c r="M22" s="415"/>
      <c r="N22" s="415"/>
      <c r="O22" s="415"/>
      <c r="P22" s="415"/>
      <c r="Q22" s="415"/>
      <c r="R22" s="415"/>
      <c r="S22" s="415"/>
      <c r="T22" s="416"/>
    </row>
    <row r="23" spans="1:27">
      <c r="D23" s="327" t="s">
        <v>383</v>
      </c>
    </row>
    <row r="31" spans="1:27">
      <c r="H31" s="109" t="s">
        <v>82</v>
      </c>
    </row>
  </sheetData>
  <mergeCells count="71">
    <mergeCell ref="T7:T8"/>
    <mergeCell ref="T15:T16"/>
    <mergeCell ref="T17:T20"/>
    <mergeCell ref="S7:S8"/>
    <mergeCell ref="S15:S16"/>
    <mergeCell ref="A21:T22"/>
    <mergeCell ref="S17:S20"/>
    <mergeCell ref="A17:A20"/>
    <mergeCell ref="C19:C20"/>
    <mergeCell ref="D19:D20"/>
    <mergeCell ref="R7:R8"/>
    <mergeCell ref="R15:R16"/>
    <mergeCell ref="H15:L15"/>
    <mergeCell ref="M15:P15"/>
    <mergeCell ref="P9:Q9"/>
    <mergeCell ref="I10:J10"/>
    <mergeCell ref="K10:L10"/>
    <mergeCell ref="M10:N10"/>
    <mergeCell ref="I11:J11"/>
    <mergeCell ref="K11:L11"/>
    <mergeCell ref="M11:N11"/>
    <mergeCell ref="M12:N12"/>
    <mergeCell ref="I13:J13"/>
    <mergeCell ref="K13:L13"/>
    <mergeCell ref="M13:N13"/>
    <mergeCell ref="Q15:Q16"/>
    <mergeCell ref="G15:G16"/>
    <mergeCell ref="I12:J12"/>
    <mergeCell ref="K12:L12"/>
    <mergeCell ref="M8:N8"/>
    <mergeCell ref="A9:B9"/>
    <mergeCell ref="C9:G9"/>
    <mergeCell ref="I9:J9"/>
    <mergeCell ref="K9:L9"/>
    <mergeCell ref="M9:N9"/>
    <mergeCell ref="A15:A16"/>
    <mergeCell ref="B15:B16"/>
    <mergeCell ref="C15:C16"/>
    <mergeCell ref="D15:D16"/>
    <mergeCell ref="E15:E16"/>
    <mergeCell ref="F15:F16"/>
    <mergeCell ref="P6:Q6"/>
    <mergeCell ref="A7:B7"/>
    <mergeCell ref="C7:G7"/>
    <mergeCell ref="I7:J7"/>
    <mergeCell ref="K7:L7"/>
    <mergeCell ref="M7:N7"/>
    <mergeCell ref="A6:B6"/>
    <mergeCell ref="C6:G6"/>
    <mergeCell ref="I6:J6"/>
    <mergeCell ref="K6:L6"/>
    <mergeCell ref="M6:N6"/>
    <mergeCell ref="P7:Q8"/>
    <mergeCell ref="A8:B8"/>
    <mergeCell ref="C8:G8"/>
    <mergeCell ref="I8:J8"/>
    <mergeCell ref="K8:L8"/>
    <mergeCell ref="V4:W4"/>
    <mergeCell ref="A5:B5"/>
    <mergeCell ref="C5:G5"/>
    <mergeCell ref="I5:J5"/>
    <mergeCell ref="K5:L5"/>
    <mergeCell ref="M5:N5"/>
    <mergeCell ref="P5:R5"/>
    <mergeCell ref="S5:T5"/>
    <mergeCell ref="R1:T1"/>
    <mergeCell ref="R2:T2"/>
    <mergeCell ref="R3:T3"/>
    <mergeCell ref="A4:B4"/>
    <mergeCell ref="P4:T4"/>
    <mergeCell ref="A1:Q3"/>
  </mergeCells>
  <printOptions horizontalCentered="1"/>
  <pageMargins left="0" right="0" top="0.75" bottom="0.75" header="0.3" footer="0.3"/>
  <pageSetup paperSize="9" scale="59" orientation="landscape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  <pageSetUpPr fitToPage="1"/>
  </sheetPr>
  <dimension ref="A1:Y33"/>
  <sheetViews>
    <sheetView view="pageBreakPreview" topLeftCell="A6" zoomScaleNormal="100" zoomScaleSheetLayoutView="100" zoomScalePageLayoutView="80" workbookViewId="0">
      <selection activeCell="K19" sqref="K19"/>
    </sheetView>
  </sheetViews>
  <sheetFormatPr defaultColWidth="8.88671875" defaultRowHeight="13.8"/>
  <cols>
    <col min="1" max="1" width="9.44140625" style="109" customWidth="1"/>
    <col min="2" max="2" width="6.109375" style="109" customWidth="1"/>
    <col min="3" max="3" width="23.44140625" style="109" customWidth="1"/>
    <col min="4" max="5" width="21.109375" style="109" customWidth="1"/>
    <col min="6" max="6" width="7.44140625" style="107" customWidth="1"/>
    <col min="7" max="7" width="10" style="109" customWidth="1"/>
    <col min="8" max="16" width="9.44140625" style="109" customWidth="1"/>
    <col min="17" max="17" width="10.109375" style="109" customWidth="1"/>
    <col min="18" max="18" width="18.33203125" style="109" customWidth="1"/>
    <col min="19" max="20" width="17.21875" style="109" customWidth="1"/>
    <col min="21" max="21" width="11.44140625" style="109" customWidth="1"/>
    <col min="22" max="23" width="10.44140625" style="109" customWidth="1"/>
    <col min="24" max="16384" width="8.88671875" style="109"/>
  </cols>
  <sheetData>
    <row r="1" spans="1:25" ht="17.25" customHeight="1">
      <c r="A1" s="351" t="s">
        <v>0</v>
      </c>
      <c r="B1" s="352"/>
      <c r="C1" s="352"/>
      <c r="D1" s="352"/>
      <c r="E1" s="352"/>
      <c r="F1" s="352"/>
      <c r="G1" s="352"/>
      <c r="H1" s="352"/>
      <c r="I1" s="352"/>
      <c r="J1" s="352"/>
      <c r="K1" s="352"/>
      <c r="L1" s="352"/>
      <c r="M1" s="352"/>
      <c r="N1" s="352"/>
      <c r="O1" s="352"/>
      <c r="P1" s="352"/>
      <c r="Q1" s="353"/>
      <c r="R1" s="329" t="s">
        <v>1</v>
      </c>
      <c r="S1" s="330"/>
      <c r="T1" s="331"/>
    </row>
    <row r="2" spans="1:25" ht="17.25" customHeight="1">
      <c r="A2" s="354"/>
      <c r="B2" s="355"/>
      <c r="C2" s="355"/>
      <c r="D2" s="355"/>
      <c r="E2" s="355"/>
      <c r="F2" s="355"/>
      <c r="G2" s="355"/>
      <c r="H2" s="355"/>
      <c r="I2" s="355"/>
      <c r="J2" s="355"/>
      <c r="K2" s="355"/>
      <c r="L2" s="355"/>
      <c r="M2" s="355"/>
      <c r="N2" s="355"/>
      <c r="O2" s="355"/>
      <c r="P2" s="355"/>
      <c r="Q2" s="356"/>
      <c r="R2" s="332" t="s">
        <v>2</v>
      </c>
      <c r="S2" s="333"/>
      <c r="T2" s="334"/>
    </row>
    <row r="3" spans="1:25" ht="17.25" customHeight="1">
      <c r="A3" s="357"/>
      <c r="B3" s="358"/>
      <c r="C3" s="358"/>
      <c r="D3" s="358"/>
      <c r="E3" s="358"/>
      <c r="F3" s="358"/>
      <c r="G3" s="358"/>
      <c r="H3" s="358"/>
      <c r="I3" s="358"/>
      <c r="J3" s="358"/>
      <c r="K3" s="358"/>
      <c r="L3" s="358"/>
      <c r="M3" s="358"/>
      <c r="N3" s="358"/>
      <c r="O3" s="358"/>
      <c r="P3" s="358"/>
      <c r="Q3" s="359"/>
      <c r="R3" s="335" t="s">
        <v>3</v>
      </c>
      <c r="S3" s="336"/>
      <c r="T3" s="337"/>
    </row>
    <row r="4" spans="1:25" ht="15.75" customHeight="1">
      <c r="A4" s="338"/>
      <c r="B4" s="338"/>
      <c r="C4" s="110"/>
      <c r="D4" s="110"/>
      <c r="E4" s="110"/>
      <c r="F4" s="110"/>
      <c r="H4" s="111"/>
      <c r="I4" s="111"/>
      <c r="J4" s="111"/>
      <c r="K4" s="111"/>
      <c r="L4" s="111"/>
      <c r="M4" s="111"/>
      <c r="N4" s="111"/>
      <c r="O4" s="111"/>
      <c r="P4" s="339"/>
      <c r="Q4" s="339"/>
      <c r="R4" s="339"/>
      <c r="S4" s="339"/>
      <c r="T4" s="339"/>
      <c r="U4" s="111"/>
      <c r="V4" s="338"/>
      <c r="W4" s="338"/>
    </row>
    <row r="5" spans="1:25" s="91" customFormat="1" ht="16.95" customHeight="1">
      <c r="A5" s="340" t="s">
        <v>4</v>
      </c>
      <c r="B5" s="341"/>
      <c r="C5" s="342" t="str">
        <f>In!C5:G5</f>
        <v xml:space="preserve">NHÀ MÁY SX TINH BỘT SẮN TÂN CHÂU-CN CÔNG TY CPNS THỰC PHẨM QUẢNG NGÃI					</v>
      </c>
      <c r="D5" s="343"/>
      <c r="E5" s="343"/>
      <c r="F5" s="343"/>
      <c r="G5" s="344"/>
      <c r="I5" s="345" t="s">
        <v>5</v>
      </c>
      <c r="J5" s="346"/>
      <c r="K5" s="346" t="s">
        <v>6</v>
      </c>
      <c r="L5" s="346"/>
      <c r="M5" s="346" t="s">
        <v>7</v>
      </c>
      <c r="N5" s="347"/>
      <c r="P5" s="348" t="s">
        <v>8</v>
      </c>
      <c r="Q5" s="349"/>
      <c r="R5" s="349"/>
      <c r="S5" s="349" t="s">
        <v>9</v>
      </c>
      <c r="T5" s="350"/>
      <c r="U5" s="112"/>
      <c r="V5" s="112" t="s">
        <v>83</v>
      </c>
      <c r="W5" s="112" t="s">
        <v>84</v>
      </c>
      <c r="X5" s="91" t="s">
        <v>85</v>
      </c>
      <c r="Y5" s="91" t="s">
        <v>86</v>
      </c>
    </row>
    <row r="6" spans="1:25" s="91" customFormat="1" ht="16.95" customHeight="1">
      <c r="A6" s="360" t="s">
        <v>10</v>
      </c>
      <c r="B6" s="361"/>
      <c r="C6" s="374" t="str">
        <f>In!C6:G6</f>
        <v>Bao giấy 25kg AM-20 Tân Châu</v>
      </c>
      <c r="D6" s="375"/>
      <c r="E6" s="375"/>
      <c r="F6" s="375"/>
      <c r="G6" s="376"/>
      <c r="I6" s="440" t="s">
        <v>11</v>
      </c>
      <c r="J6" s="441"/>
      <c r="K6" s="442" t="s">
        <v>12</v>
      </c>
      <c r="L6" s="442"/>
      <c r="M6" s="443">
        <f>In!M6:N6</f>
        <v>5000</v>
      </c>
      <c r="N6" s="444"/>
      <c r="P6" s="370" t="s">
        <v>13</v>
      </c>
      <c r="Q6" s="371"/>
      <c r="R6" s="114" t="s">
        <v>14</v>
      </c>
      <c r="S6" s="114" t="s">
        <v>15</v>
      </c>
      <c r="T6" s="115" t="s">
        <v>14</v>
      </c>
      <c r="U6" s="112"/>
      <c r="V6" s="112"/>
      <c r="W6" s="112"/>
    </row>
    <row r="7" spans="1:25" s="91" customFormat="1" ht="16.95" customHeight="1">
      <c r="A7" s="360" t="s">
        <v>16</v>
      </c>
      <c r="B7" s="361"/>
      <c r="C7" s="374" t="str">
        <f>In!C7:G7</f>
        <v>BT1KH00563KP0004</v>
      </c>
      <c r="D7" s="375"/>
      <c r="E7" s="375"/>
      <c r="F7" s="375"/>
      <c r="G7" s="376"/>
      <c r="I7" s="440" t="s">
        <v>87</v>
      </c>
      <c r="J7" s="441"/>
      <c r="K7" s="442" t="s">
        <v>18</v>
      </c>
      <c r="L7" s="442"/>
      <c r="M7" s="377">
        <f>In!M7:N7</f>
        <v>0.92</v>
      </c>
      <c r="N7" s="378"/>
      <c r="P7" s="435"/>
      <c r="Q7" s="436"/>
      <c r="R7" s="418"/>
      <c r="S7" s="418"/>
      <c r="T7" s="427"/>
      <c r="U7" s="111"/>
      <c r="V7" s="111"/>
      <c r="W7" s="111"/>
    </row>
    <row r="8" spans="1:25" s="91" customFormat="1" ht="16.95" customHeight="1">
      <c r="A8" s="360" t="s">
        <v>19</v>
      </c>
      <c r="B8" s="361"/>
      <c r="C8" s="374" t="str">
        <f>In!C8:G8</f>
        <v>26BA2HKH00563000029</v>
      </c>
      <c r="D8" s="375"/>
      <c r="E8" s="375"/>
      <c r="F8" s="375"/>
      <c r="G8" s="376"/>
      <c r="I8" s="440" t="s">
        <v>20</v>
      </c>
      <c r="J8" s="441"/>
      <c r="K8" s="442" t="s">
        <v>18</v>
      </c>
      <c r="L8" s="442"/>
      <c r="M8" s="377">
        <f>In!M8:N8</f>
        <v>0.5</v>
      </c>
      <c r="N8" s="378"/>
      <c r="P8" s="437"/>
      <c r="Q8" s="438"/>
      <c r="R8" s="419"/>
      <c r="S8" s="419"/>
      <c r="T8" s="428"/>
      <c r="U8" s="111"/>
      <c r="V8" s="111"/>
      <c r="W8" s="111"/>
    </row>
    <row r="9" spans="1:25" s="91" customFormat="1" ht="16.95" customHeight="1">
      <c r="A9" s="379" t="s">
        <v>21</v>
      </c>
      <c r="B9" s="380"/>
      <c r="C9" s="381" t="str">
        <f>In!C9</f>
        <v>SX2607045</v>
      </c>
      <c r="D9" s="382"/>
      <c r="E9" s="382"/>
      <c r="F9" s="382"/>
      <c r="G9" s="383"/>
      <c r="I9" s="440" t="str">
        <f>In!I9:J9</f>
        <v>Số lượng in thực tế</v>
      </c>
      <c r="J9" s="441"/>
      <c r="K9" s="442" t="s">
        <v>18</v>
      </c>
      <c r="L9" s="442"/>
      <c r="M9" s="443">
        <f>Tráng!M9:N9</f>
        <v>4600</v>
      </c>
      <c r="N9" s="444"/>
      <c r="P9" s="405" t="s">
        <v>358</v>
      </c>
      <c r="Q9" s="439"/>
      <c r="R9" s="116" t="s">
        <v>358</v>
      </c>
      <c r="S9" s="105"/>
      <c r="T9" s="117"/>
      <c r="U9" s="111"/>
      <c r="V9" s="111"/>
      <c r="W9" s="111"/>
    </row>
    <row r="10" spans="1:25" s="91" customFormat="1" ht="16.95" customHeight="1">
      <c r="A10" s="93"/>
      <c r="B10" s="93"/>
      <c r="C10" s="111"/>
      <c r="D10" s="107"/>
      <c r="E10" s="107"/>
      <c r="F10" s="107"/>
      <c r="G10" s="107"/>
      <c r="I10" s="440" t="s">
        <v>26</v>
      </c>
      <c r="J10" s="441"/>
      <c r="K10" s="442" t="s">
        <v>18</v>
      </c>
      <c r="L10" s="442"/>
      <c r="M10" s="377">
        <f>M8*2+0.06</f>
        <v>1.06</v>
      </c>
      <c r="N10" s="378"/>
      <c r="U10" s="111"/>
      <c r="V10" s="111"/>
      <c r="W10" s="111"/>
    </row>
    <row r="11" spans="1:25" s="91" customFormat="1" ht="16.95" customHeight="1">
      <c r="A11" s="93"/>
      <c r="B11" s="93"/>
      <c r="C11" s="111"/>
      <c r="D11" s="107"/>
      <c r="E11" s="107"/>
      <c r="F11" s="107"/>
      <c r="G11" s="107"/>
      <c r="I11" s="440" t="s">
        <v>27</v>
      </c>
      <c r="J11" s="441"/>
      <c r="K11" s="442" t="s">
        <v>18</v>
      </c>
      <c r="L11" s="442"/>
      <c r="M11" s="377"/>
      <c r="N11" s="378"/>
      <c r="U11" s="111"/>
      <c r="V11" s="111"/>
      <c r="W11" s="111"/>
    </row>
    <row r="12" spans="1:25" s="91" customFormat="1" ht="16.95" customHeight="1">
      <c r="A12" s="93"/>
      <c r="B12" s="93"/>
      <c r="C12" s="111"/>
      <c r="D12" s="107"/>
      <c r="E12" s="107"/>
      <c r="F12" s="107"/>
      <c r="G12" s="107"/>
      <c r="I12" s="440" t="s">
        <v>28</v>
      </c>
      <c r="J12" s="441"/>
      <c r="K12" s="442" t="s">
        <v>18</v>
      </c>
      <c r="L12" s="442"/>
      <c r="M12" s="377"/>
      <c r="N12" s="378"/>
      <c r="U12" s="111"/>
      <c r="V12" s="111"/>
      <c r="W12" s="111"/>
    </row>
    <row r="13" spans="1:25" s="91" customFormat="1" ht="16.95" customHeight="1">
      <c r="A13" s="93"/>
      <c r="B13" s="93"/>
      <c r="C13" s="111"/>
      <c r="D13" s="107"/>
      <c r="E13" s="107"/>
      <c r="F13" s="107"/>
      <c r="G13" s="107"/>
      <c r="I13" s="448" t="s">
        <v>29</v>
      </c>
      <c r="J13" s="449"/>
      <c r="K13" s="450" t="s">
        <v>30</v>
      </c>
      <c r="L13" s="450"/>
      <c r="M13" s="451">
        <f>In!M14:N14</f>
        <v>4.1000000000000002E-2</v>
      </c>
      <c r="N13" s="452"/>
      <c r="U13" s="111"/>
      <c r="V13" s="111"/>
      <c r="W13" s="111"/>
    </row>
    <row r="14" spans="1:25" ht="15.45" customHeight="1" thickBot="1">
      <c r="A14" s="94"/>
      <c r="B14" s="119"/>
      <c r="C14" s="119"/>
      <c r="D14" s="119"/>
      <c r="E14" s="119"/>
      <c r="H14" s="110"/>
      <c r="I14" s="110"/>
      <c r="J14" s="110"/>
      <c r="K14" s="110"/>
      <c r="L14" s="110"/>
      <c r="M14" s="110"/>
      <c r="N14" s="110"/>
      <c r="O14" s="110"/>
      <c r="P14" s="110"/>
      <c r="Q14" s="110"/>
      <c r="R14" s="110"/>
      <c r="S14" s="110"/>
      <c r="T14" s="110"/>
      <c r="U14" s="110"/>
      <c r="V14" s="110"/>
      <c r="W14" s="94"/>
    </row>
    <row r="15" spans="1:25" ht="22.5" customHeight="1">
      <c r="A15" s="351" t="s">
        <v>31</v>
      </c>
      <c r="B15" s="352" t="s">
        <v>32</v>
      </c>
      <c r="C15" s="352" t="s">
        <v>33</v>
      </c>
      <c r="D15" s="352" t="s">
        <v>34</v>
      </c>
      <c r="E15" s="397" t="s">
        <v>362</v>
      </c>
      <c r="F15" s="352" t="s">
        <v>35</v>
      </c>
      <c r="G15" s="352" t="s">
        <v>36</v>
      </c>
      <c r="H15" s="392" t="s">
        <v>37</v>
      </c>
      <c r="I15" s="393"/>
      <c r="J15" s="393"/>
      <c r="K15" s="393"/>
      <c r="L15" s="394"/>
      <c r="M15" s="392" t="s">
        <v>38</v>
      </c>
      <c r="N15" s="393"/>
      <c r="O15" s="393"/>
      <c r="P15" s="394"/>
      <c r="Q15" s="392" t="s">
        <v>39</v>
      </c>
      <c r="R15" s="420" t="s">
        <v>40</v>
      </c>
      <c r="S15" s="394" t="s">
        <v>41</v>
      </c>
      <c r="T15" s="350" t="s">
        <v>42</v>
      </c>
    </row>
    <row r="16" spans="1:25" ht="22.5" customHeight="1" thickBot="1">
      <c r="A16" s="404"/>
      <c r="B16" s="406"/>
      <c r="C16" s="406"/>
      <c r="D16" s="406"/>
      <c r="E16" s="398"/>
      <c r="F16" s="406"/>
      <c r="G16" s="406"/>
      <c r="H16" s="120" t="s">
        <v>43</v>
      </c>
      <c r="I16" s="120" t="s">
        <v>44</v>
      </c>
      <c r="J16" s="120" t="s">
        <v>45</v>
      </c>
      <c r="K16" s="120" t="s">
        <v>46</v>
      </c>
      <c r="L16" s="120" t="s">
        <v>47</v>
      </c>
      <c r="M16" s="120" t="s">
        <v>43</v>
      </c>
      <c r="N16" s="120" t="s">
        <v>44</v>
      </c>
      <c r="O16" s="120" t="s">
        <v>45</v>
      </c>
      <c r="P16" s="120" t="s">
        <v>46</v>
      </c>
      <c r="Q16" s="417"/>
      <c r="R16" s="421"/>
      <c r="S16" s="422"/>
      <c r="T16" s="429"/>
    </row>
    <row r="17" spans="1:20" ht="26.4" customHeight="1">
      <c r="A17" s="345" t="s">
        <v>105</v>
      </c>
      <c r="B17" s="124">
        <v>1</v>
      </c>
      <c r="C17" s="276" t="s">
        <v>106</v>
      </c>
      <c r="D17" s="276" t="s">
        <v>107</v>
      </c>
      <c r="E17" s="276"/>
      <c r="F17" s="121" t="s">
        <v>51</v>
      </c>
      <c r="G17" s="306">
        <f>0.8*M6/1000</f>
        <v>4</v>
      </c>
      <c r="H17" s="277"/>
      <c r="I17" s="132"/>
      <c r="J17" s="132"/>
      <c r="K17" s="132"/>
      <c r="L17" s="133"/>
      <c r="M17" s="134"/>
      <c r="N17" s="132"/>
      <c r="O17" s="132"/>
      <c r="P17" s="133"/>
      <c r="Q17" s="136"/>
      <c r="R17" s="131"/>
      <c r="S17" s="410" t="s">
        <v>95</v>
      </c>
      <c r="T17" s="466" t="s">
        <v>95</v>
      </c>
    </row>
    <row r="18" spans="1:20" ht="26.4" customHeight="1">
      <c r="A18" s="370"/>
      <c r="B18" s="114">
        <v>2</v>
      </c>
      <c r="C18" s="210" t="s">
        <v>108</v>
      </c>
      <c r="D18" s="210" t="s">
        <v>109</v>
      </c>
      <c r="E18" s="210"/>
      <c r="F18" s="114" t="s">
        <v>51</v>
      </c>
      <c r="G18" s="278">
        <v>1</v>
      </c>
      <c r="H18" s="140"/>
      <c r="I18" s="114"/>
      <c r="J18" s="114"/>
      <c r="K18" s="114"/>
      <c r="L18" s="115"/>
      <c r="M18" s="140"/>
      <c r="N18" s="114"/>
      <c r="O18" s="114"/>
      <c r="P18" s="115"/>
      <c r="Q18" s="142"/>
      <c r="R18" s="144"/>
      <c r="S18" s="441"/>
      <c r="T18" s="453"/>
    </row>
    <row r="19" spans="1:20" ht="26.4" customHeight="1">
      <c r="A19" s="370"/>
      <c r="B19" s="418">
        <v>3</v>
      </c>
      <c r="C19" s="458" t="str">
        <f>Thổi!C19</f>
        <v>Túi PE rin 52x112cm 40gr, đáy dài</v>
      </c>
      <c r="D19" s="460" t="str">
        <f>Thổi!D19</f>
        <v>TEB0400521121</v>
      </c>
      <c r="E19" s="279"/>
      <c r="F19" s="114" t="s">
        <v>51</v>
      </c>
      <c r="G19" s="280"/>
      <c r="H19" s="140"/>
      <c r="I19" s="114"/>
      <c r="J19" s="114"/>
      <c r="K19" s="114"/>
      <c r="L19" s="115"/>
      <c r="M19" s="140"/>
      <c r="N19" s="114"/>
      <c r="O19" s="114"/>
      <c r="P19" s="115"/>
      <c r="Q19" s="142"/>
      <c r="R19" s="144"/>
      <c r="S19" s="441"/>
      <c r="T19" s="453"/>
    </row>
    <row r="20" spans="1:20" ht="26.4" customHeight="1">
      <c r="A20" s="370"/>
      <c r="B20" s="419"/>
      <c r="C20" s="410"/>
      <c r="D20" s="465"/>
      <c r="E20" s="281"/>
      <c r="F20" s="149" t="s">
        <v>76</v>
      </c>
      <c r="G20" s="280">
        <f>Thổi!G20</f>
        <v>5000</v>
      </c>
      <c r="H20" s="140"/>
      <c r="I20" s="114"/>
      <c r="J20" s="114"/>
      <c r="K20" s="114"/>
      <c r="L20" s="115"/>
      <c r="M20" s="140"/>
      <c r="N20" s="114"/>
      <c r="O20" s="114"/>
      <c r="P20" s="115"/>
      <c r="Q20" s="142"/>
      <c r="R20" s="144"/>
      <c r="S20" s="441"/>
      <c r="T20" s="453"/>
    </row>
    <row r="21" spans="1:20" ht="26.4" customHeight="1">
      <c r="A21" s="464"/>
      <c r="B21" s="154">
        <v>4</v>
      </c>
      <c r="C21" s="210" t="s">
        <v>110</v>
      </c>
      <c r="D21" s="210" t="s">
        <v>111</v>
      </c>
      <c r="E21" s="279"/>
      <c r="F21" s="282" t="s">
        <v>51</v>
      </c>
      <c r="G21" s="283">
        <f>0.06*M6*(0.5+0.12)*0.16</f>
        <v>29.76</v>
      </c>
      <c r="H21" s="156"/>
      <c r="I21" s="154"/>
      <c r="J21" s="154"/>
      <c r="K21" s="154"/>
      <c r="L21" s="155"/>
      <c r="M21" s="156"/>
      <c r="N21" s="154"/>
      <c r="O21" s="154"/>
      <c r="P21" s="155"/>
      <c r="Q21" s="158"/>
      <c r="R21" s="153"/>
      <c r="S21" s="460"/>
      <c r="T21" s="467"/>
    </row>
    <row r="22" spans="1:20" ht="31.95" customHeight="1">
      <c r="A22" s="405"/>
      <c r="B22" s="116">
        <v>5</v>
      </c>
      <c r="C22" s="284" t="s">
        <v>359</v>
      </c>
      <c r="D22" s="217" t="s">
        <v>94</v>
      </c>
      <c r="E22" s="217"/>
      <c r="F22" s="232" t="s">
        <v>51</v>
      </c>
      <c r="G22" s="285">
        <f>0.1*M6*(0.5+0.12)*0.07</f>
        <v>21.700000000000003</v>
      </c>
      <c r="H22" s="165"/>
      <c r="I22" s="116"/>
      <c r="J22" s="116"/>
      <c r="K22" s="116"/>
      <c r="L22" s="164"/>
      <c r="M22" s="165"/>
      <c r="N22" s="116"/>
      <c r="O22" s="116"/>
      <c r="P22" s="164"/>
      <c r="Q22" s="167"/>
      <c r="R22" s="163"/>
      <c r="S22" s="449"/>
      <c r="T22" s="454"/>
    </row>
    <row r="23" spans="1:20" ht="13.5" customHeight="1">
      <c r="A23" s="445" t="s">
        <v>79</v>
      </c>
      <c r="B23" s="412"/>
      <c r="C23" s="412"/>
      <c r="D23" s="412"/>
      <c r="E23" s="412"/>
      <c r="F23" s="412"/>
      <c r="G23" s="412"/>
      <c r="H23" s="412"/>
      <c r="I23" s="412"/>
      <c r="J23" s="412"/>
      <c r="K23" s="412"/>
      <c r="L23" s="412"/>
      <c r="M23" s="412"/>
      <c r="N23" s="412"/>
      <c r="O23" s="412"/>
      <c r="P23" s="412"/>
      <c r="Q23" s="412"/>
      <c r="R23" s="412"/>
      <c r="S23" s="412"/>
      <c r="T23" s="413"/>
    </row>
    <row r="24" spans="1:20">
      <c r="A24" s="414"/>
      <c r="B24" s="415"/>
      <c r="C24" s="415"/>
      <c r="D24" s="415"/>
      <c r="E24" s="415"/>
      <c r="F24" s="415"/>
      <c r="G24" s="415"/>
      <c r="H24" s="415"/>
      <c r="I24" s="415"/>
      <c r="J24" s="415"/>
      <c r="K24" s="415"/>
      <c r="L24" s="415"/>
      <c r="M24" s="415"/>
      <c r="N24" s="415"/>
      <c r="O24" s="415"/>
      <c r="P24" s="415"/>
      <c r="Q24" s="415"/>
      <c r="R24" s="415"/>
      <c r="S24" s="415"/>
      <c r="T24" s="416"/>
    </row>
    <row r="33" spans="8:8">
      <c r="H33" s="109" t="s">
        <v>82</v>
      </c>
    </row>
  </sheetData>
  <mergeCells count="72">
    <mergeCell ref="T7:T8"/>
    <mergeCell ref="T15:T16"/>
    <mergeCell ref="T17:T22"/>
    <mergeCell ref="S7:S8"/>
    <mergeCell ref="S15:S16"/>
    <mergeCell ref="K12:L12"/>
    <mergeCell ref="M12:N12"/>
    <mergeCell ref="A23:T24"/>
    <mergeCell ref="S17:S22"/>
    <mergeCell ref="A17:A22"/>
    <mergeCell ref="B19:B20"/>
    <mergeCell ref="C19:C20"/>
    <mergeCell ref="D19:D20"/>
    <mergeCell ref="I13:J13"/>
    <mergeCell ref="K13:L13"/>
    <mergeCell ref="M13:N13"/>
    <mergeCell ref="A15:A16"/>
    <mergeCell ref="B15:B16"/>
    <mergeCell ref="C15:C16"/>
    <mergeCell ref="E15:E16"/>
    <mergeCell ref="D15:D16"/>
    <mergeCell ref="F15:F16"/>
    <mergeCell ref="Q15:Q16"/>
    <mergeCell ref="R7:R8"/>
    <mergeCell ref="R15:R16"/>
    <mergeCell ref="H15:L15"/>
    <mergeCell ref="M15:P15"/>
    <mergeCell ref="P9:Q9"/>
    <mergeCell ref="I10:J10"/>
    <mergeCell ref="K10:L10"/>
    <mergeCell ref="M10:N10"/>
    <mergeCell ref="I11:J11"/>
    <mergeCell ref="K11:L11"/>
    <mergeCell ref="M11:N11"/>
    <mergeCell ref="G15:G16"/>
    <mergeCell ref="I12:J12"/>
    <mergeCell ref="M8:N8"/>
    <mergeCell ref="A9:B9"/>
    <mergeCell ref="C9:G9"/>
    <mergeCell ref="I9:J9"/>
    <mergeCell ref="K9:L9"/>
    <mergeCell ref="M9:N9"/>
    <mergeCell ref="P6:Q6"/>
    <mergeCell ref="A7:B7"/>
    <mergeCell ref="C7:G7"/>
    <mergeCell ref="I7:J7"/>
    <mergeCell ref="K7:L7"/>
    <mergeCell ref="M7:N7"/>
    <mergeCell ref="A6:B6"/>
    <mergeCell ref="C6:G6"/>
    <mergeCell ref="I6:J6"/>
    <mergeCell ref="K6:L6"/>
    <mergeCell ref="M6:N6"/>
    <mergeCell ref="P7:Q8"/>
    <mergeCell ref="A8:B8"/>
    <mergeCell ref="C8:G8"/>
    <mergeCell ref="I8:J8"/>
    <mergeCell ref="K8:L8"/>
    <mergeCell ref="V4:W4"/>
    <mergeCell ref="A5:B5"/>
    <mergeCell ref="C5:G5"/>
    <mergeCell ref="I5:J5"/>
    <mergeCell ref="K5:L5"/>
    <mergeCell ref="M5:N5"/>
    <mergeCell ref="P5:R5"/>
    <mergeCell ref="S5:T5"/>
    <mergeCell ref="R1:T1"/>
    <mergeCell ref="R2:T2"/>
    <mergeCell ref="R3:T3"/>
    <mergeCell ref="A4:B4"/>
    <mergeCell ref="P4:T4"/>
    <mergeCell ref="A1:Q3"/>
  </mergeCells>
  <conditionalFormatting sqref="D19:E19 D21:E21">
    <cfRule type="duplicateValues" dxfId="76" priority="1" stopIfTrue="1"/>
    <cfRule type="duplicateValues" dxfId="75" priority="2" stopIfTrue="1"/>
    <cfRule type="duplicateValues" dxfId="74" priority="3" stopIfTrue="1"/>
    <cfRule type="duplicateValues" dxfId="73" priority="4" stopIfTrue="1"/>
    <cfRule type="duplicateValues" dxfId="72" priority="5"/>
  </conditionalFormatting>
  <printOptions horizontalCentered="1"/>
  <pageMargins left="0" right="0" top="0.75" bottom="0.75" header="0.3" footer="0.3"/>
  <pageSetup paperSize="9" scale="59" orientation="landscape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  <pageSetUpPr fitToPage="1"/>
  </sheetPr>
  <dimension ref="A1:S45"/>
  <sheetViews>
    <sheetView showGridLines="0" view="pageBreakPreview" zoomScaleNormal="100" workbookViewId="0">
      <selection activeCell="C16" sqref="C16:G16"/>
    </sheetView>
  </sheetViews>
  <sheetFormatPr defaultColWidth="9" defaultRowHeight="14.4"/>
  <cols>
    <col min="1" max="1" width="3.5546875" style="2" customWidth="1"/>
    <col min="2" max="2" width="10.44140625" style="2" customWidth="1"/>
    <col min="3" max="3" width="14.109375" style="2" customWidth="1"/>
    <col min="4" max="4" width="7.88671875" style="2" customWidth="1"/>
    <col min="5" max="5" width="6.77734375" style="2" customWidth="1"/>
    <col min="6" max="6" width="10.33203125" style="2" customWidth="1"/>
    <col min="7" max="7" width="12.21875" style="2" customWidth="1"/>
    <col min="8" max="8" width="1.88671875" style="2" customWidth="1"/>
    <col min="9" max="9" width="11.21875" style="2" customWidth="1"/>
    <col min="10" max="10" width="6.21875" style="2" customWidth="1"/>
    <col min="11" max="11" width="9.88671875" style="2" customWidth="1"/>
    <col min="12" max="12" width="7.5546875" style="2" customWidth="1"/>
    <col min="13" max="13" width="9" style="2"/>
    <col min="14" max="14" width="16.21875" style="2" customWidth="1"/>
    <col min="15" max="15" width="29" style="2" customWidth="1"/>
    <col min="16" max="16" width="9.77734375" style="2" customWidth="1"/>
    <col min="17" max="16384" width="9" style="2"/>
  </cols>
  <sheetData>
    <row r="1" spans="1:15" ht="16.2" customHeight="1">
      <c r="A1" s="520"/>
      <c r="B1" s="521"/>
      <c r="C1" s="526" t="s">
        <v>112</v>
      </c>
      <c r="D1" s="526"/>
      <c r="E1" s="526"/>
      <c r="F1" s="526"/>
      <c r="G1" s="526"/>
      <c r="H1" s="526"/>
      <c r="I1" s="526"/>
      <c r="J1" s="468" t="s">
        <v>113</v>
      </c>
      <c r="K1" s="469"/>
      <c r="L1" s="470"/>
    </row>
    <row r="2" spans="1:15" ht="16.2" customHeight="1">
      <c r="A2" s="522"/>
      <c r="B2" s="523"/>
      <c r="C2" s="527"/>
      <c r="D2" s="527"/>
      <c r="E2" s="527"/>
      <c r="F2" s="527"/>
      <c r="G2" s="527"/>
      <c r="H2" s="527"/>
      <c r="I2" s="527"/>
      <c r="J2" s="471" t="s">
        <v>114</v>
      </c>
      <c r="K2" s="472"/>
      <c r="L2" s="473"/>
      <c r="N2" s="1" t="str">
        <f>[1]In!J5</f>
        <v>SX2311007</v>
      </c>
      <c r="O2" s="1"/>
    </row>
    <row r="3" spans="1:15" ht="16.2" customHeight="1">
      <c r="A3" s="524"/>
      <c r="B3" s="525"/>
      <c r="C3" s="528"/>
      <c r="D3" s="528"/>
      <c r="E3" s="528"/>
      <c r="F3" s="528"/>
      <c r="G3" s="528"/>
      <c r="H3" s="528"/>
      <c r="I3" s="528"/>
      <c r="J3" s="474" t="s">
        <v>115</v>
      </c>
      <c r="K3" s="475"/>
      <c r="L3" s="476"/>
      <c r="N3" s="1"/>
      <c r="O3" s="1"/>
    </row>
    <row r="4" spans="1:15" ht="15" customHeight="1">
      <c r="A4" s="3"/>
      <c r="N4" s="1"/>
      <c r="O4" s="1"/>
    </row>
    <row r="5" spans="1:15" ht="15" customHeight="1">
      <c r="A5" s="71" t="s">
        <v>116</v>
      </c>
      <c r="B5" s="52"/>
      <c r="C5" s="477" t="str">
        <f>In!C8</f>
        <v>26BA2HKH00563000029</v>
      </c>
      <c r="D5" s="477"/>
      <c r="E5" s="72"/>
      <c r="F5" s="72"/>
      <c r="G5" s="72"/>
      <c r="H5" s="73"/>
      <c r="I5" s="71" t="s">
        <v>3</v>
      </c>
      <c r="J5" s="75" t="str">
        <f>In!C9</f>
        <v>SX2607045</v>
      </c>
      <c r="K5" s="52"/>
      <c r="L5" s="84"/>
      <c r="N5" s="1"/>
      <c r="O5" s="1"/>
    </row>
    <row r="6" spans="1:15" s="1" customFormat="1" ht="15" customHeight="1">
      <c r="A6" s="71" t="s">
        <v>117</v>
      </c>
      <c r="B6" s="52"/>
      <c r="C6" s="478" t="str">
        <f>In!C7</f>
        <v>BT1KH00563KP0004</v>
      </c>
      <c r="D6" s="478"/>
      <c r="E6" s="74"/>
      <c r="F6" s="74"/>
      <c r="G6" s="74"/>
      <c r="H6" s="72"/>
      <c r="I6" s="71" t="s">
        <v>118</v>
      </c>
      <c r="J6" s="85" t="s">
        <v>119</v>
      </c>
      <c r="K6" s="52"/>
      <c r="L6" s="52"/>
      <c r="M6" s="2"/>
    </row>
    <row r="7" spans="1:15" s="1" customFormat="1" ht="15" customHeight="1">
      <c r="A7" s="71" t="s">
        <v>120</v>
      </c>
      <c r="B7" s="52"/>
      <c r="C7" s="477" t="str">
        <f>In!C6</f>
        <v>Bao giấy 25kg AM-20 Tân Châu</v>
      </c>
      <c r="D7" s="477"/>
      <c r="E7" s="477"/>
      <c r="F7" s="477"/>
      <c r="G7" s="477"/>
      <c r="H7" s="477"/>
      <c r="I7" s="71" t="s">
        <v>121</v>
      </c>
      <c r="J7" s="85" t="s">
        <v>122</v>
      </c>
      <c r="K7" s="52"/>
      <c r="L7" s="52"/>
      <c r="M7" s="2"/>
    </row>
    <row r="8" spans="1:15" s="1" customFormat="1" ht="15" customHeight="1">
      <c r="A8" s="71" t="s">
        <v>123</v>
      </c>
      <c r="B8" s="75"/>
      <c r="C8" s="75" t="str">
        <f>In!C5</f>
        <v xml:space="preserve">NHÀ MÁY SX TINH BỘT SẮN TÂN CHÂU-CN CÔNG TY CPNS THỰC PHẨM QUẢNG NGÃI					</v>
      </c>
      <c r="D8" s="75"/>
      <c r="E8" s="75"/>
      <c r="F8" s="75"/>
      <c r="G8" s="75"/>
      <c r="H8" s="52"/>
      <c r="I8" s="71" t="s">
        <v>124</v>
      </c>
      <c r="J8" s="85" t="s">
        <v>122</v>
      </c>
      <c r="K8" s="52"/>
      <c r="L8" s="52"/>
      <c r="M8" s="2"/>
    </row>
    <row r="9" spans="1:15" s="1" customFormat="1" ht="15" customHeight="1">
      <c r="A9" s="71"/>
      <c r="B9" s="75"/>
      <c r="C9" s="75"/>
      <c r="D9" s="75"/>
      <c r="E9" s="75"/>
      <c r="F9" s="75"/>
      <c r="G9" s="75"/>
      <c r="H9" s="52"/>
      <c r="I9" s="75"/>
      <c r="J9" s="52"/>
      <c r="K9" s="52"/>
      <c r="L9" s="52"/>
      <c r="M9" s="2"/>
    </row>
    <row r="10" spans="1:15" s="1" customFormat="1" ht="15" customHeight="1">
      <c r="A10" s="479"/>
      <c r="B10" s="480"/>
      <c r="C10" s="481" t="s">
        <v>125</v>
      </c>
      <c r="D10" s="481"/>
      <c r="E10" s="481"/>
      <c r="F10" s="481"/>
      <c r="G10" s="481"/>
      <c r="H10" s="481" t="s">
        <v>126</v>
      </c>
      <c r="I10" s="481"/>
      <c r="J10" s="481"/>
      <c r="K10" s="481"/>
      <c r="L10" s="482"/>
      <c r="M10" s="2"/>
    </row>
    <row r="11" spans="1:15" s="1" customFormat="1" ht="15" customHeight="1">
      <c r="A11" s="483" t="s">
        <v>127</v>
      </c>
      <c r="B11" s="484"/>
      <c r="C11" s="485" t="s">
        <v>23</v>
      </c>
      <c r="D11" s="485"/>
      <c r="E11" s="485"/>
      <c r="F11" s="485"/>
      <c r="G11" s="485"/>
      <c r="H11" s="485" t="s">
        <v>128</v>
      </c>
      <c r="I11" s="485"/>
      <c r="J11" s="485"/>
      <c r="K11" s="485"/>
      <c r="L11" s="486"/>
      <c r="M11" s="2"/>
    </row>
    <row r="12" spans="1:15" s="1" customFormat="1" ht="15" customHeight="1">
      <c r="A12" s="483" t="s">
        <v>129</v>
      </c>
      <c r="B12" s="484"/>
      <c r="C12" s="485" t="s">
        <v>130</v>
      </c>
      <c r="D12" s="485"/>
      <c r="E12" s="485"/>
      <c r="F12" s="485"/>
      <c r="G12" s="485"/>
      <c r="H12" s="485" t="s">
        <v>131</v>
      </c>
      <c r="I12" s="485"/>
      <c r="J12" s="485"/>
      <c r="K12" s="485"/>
      <c r="L12" s="486"/>
      <c r="M12" s="2"/>
    </row>
    <row r="13" spans="1:15" s="1" customFormat="1" ht="15" customHeight="1">
      <c r="A13" s="487" t="s">
        <v>132</v>
      </c>
      <c r="B13" s="488"/>
      <c r="C13" s="489"/>
      <c r="D13" s="489"/>
      <c r="E13" s="489"/>
      <c r="F13" s="489"/>
      <c r="G13" s="489"/>
      <c r="H13" s="490"/>
      <c r="I13" s="490"/>
      <c r="J13" s="490"/>
      <c r="K13" s="490"/>
      <c r="L13" s="491"/>
      <c r="M13" s="2"/>
    </row>
    <row r="14" spans="1:15" s="1" customFormat="1" ht="12" customHeight="1">
      <c r="A14" s="75"/>
      <c r="B14" s="75"/>
      <c r="C14" s="75"/>
      <c r="D14" s="75"/>
      <c r="E14" s="75"/>
      <c r="F14" s="52"/>
      <c r="G14" s="52"/>
      <c r="H14" s="75"/>
      <c r="I14" s="52"/>
      <c r="J14" s="75"/>
      <c r="K14" s="52"/>
      <c r="L14" s="52"/>
      <c r="M14" s="2"/>
    </row>
    <row r="15" spans="1:15" s="1" customFormat="1" ht="19.05" customHeight="1">
      <c r="A15" s="492" t="s">
        <v>133</v>
      </c>
      <c r="B15" s="493"/>
      <c r="C15" s="493"/>
      <c r="D15" s="493"/>
      <c r="E15" s="493"/>
      <c r="F15" s="493"/>
      <c r="G15" s="494"/>
      <c r="H15" s="52"/>
      <c r="I15" s="495" t="s">
        <v>134</v>
      </c>
      <c r="J15" s="481"/>
      <c r="K15" s="481"/>
      <c r="L15" s="482"/>
      <c r="M15" s="2"/>
    </row>
    <row r="16" spans="1:15" s="1" customFormat="1" ht="16.95" customHeight="1">
      <c r="A16" s="496" t="s">
        <v>135</v>
      </c>
      <c r="B16" s="497"/>
      <c r="C16" s="484" t="s">
        <v>136</v>
      </c>
      <c r="D16" s="484"/>
      <c r="E16" s="484"/>
      <c r="F16" s="484"/>
      <c r="G16" s="498"/>
      <c r="H16" s="52"/>
      <c r="I16" s="499" t="s">
        <v>137</v>
      </c>
      <c r="J16" s="500"/>
      <c r="K16" s="500" t="s">
        <v>138</v>
      </c>
      <c r="L16" s="501"/>
      <c r="M16" s="2"/>
    </row>
    <row r="17" spans="1:13" s="1" customFormat="1" ht="16.95" customHeight="1">
      <c r="A17" s="496" t="s">
        <v>139</v>
      </c>
      <c r="B17" s="497"/>
      <c r="C17" s="502" t="str">
        <f>'In 1'!O17</f>
        <v>500 x 920</v>
      </c>
      <c r="D17" s="502"/>
      <c r="E17" s="502"/>
      <c r="F17" s="485" t="s">
        <v>140</v>
      </c>
      <c r="G17" s="486"/>
      <c r="H17" s="52"/>
      <c r="I17" s="86"/>
      <c r="J17" s="87"/>
      <c r="K17" s="88"/>
      <c r="L17" s="89"/>
      <c r="M17" s="2"/>
    </row>
    <row r="18" spans="1:13" s="1" customFormat="1" ht="16.95" customHeight="1">
      <c r="A18" s="496" t="s">
        <v>141</v>
      </c>
      <c r="B18" s="497"/>
      <c r="C18" s="502" t="str">
        <f>'In 1'!O18</f>
        <v>500 x 920</v>
      </c>
      <c r="D18" s="502"/>
      <c r="E18" s="502"/>
      <c r="F18" s="485" t="s">
        <v>140</v>
      </c>
      <c r="G18" s="486"/>
      <c r="H18" s="52"/>
      <c r="I18" s="529"/>
      <c r="J18" s="530"/>
      <c r="K18" s="546"/>
      <c r="L18" s="547"/>
      <c r="M18" s="2"/>
    </row>
    <row r="19" spans="1:13" s="1" customFormat="1" ht="16.95" customHeight="1">
      <c r="A19" s="496" t="s">
        <v>142</v>
      </c>
      <c r="B19" s="497"/>
      <c r="C19" s="503">
        <f>In!M6</f>
        <v>5000</v>
      </c>
      <c r="D19" s="503"/>
      <c r="E19" s="503"/>
      <c r="F19" s="485" t="s">
        <v>12</v>
      </c>
      <c r="G19" s="486"/>
      <c r="H19" s="52"/>
      <c r="I19" s="531"/>
      <c r="J19" s="532"/>
      <c r="K19" s="548"/>
      <c r="L19" s="549"/>
      <c r="M19" s="2"/>
    </row>
    <row r="20" spans="1:13" s="1" customFormat="1" ht="16.95" customHeight="1">
      <c r="A20" s="504" t="s">
        <v>143</v>
      </c>
      <c r="B20" s="505"/>
      <c r="C20" s="506">
        <f>Tráng!M9</f>
        <v>4600</v>
      </c>
      <c r="D20" s="507"/>
      <c r="E20" s="507"/>
      <c r="F20" s="489" t="s">
        <v>144</v>
      </c>
      <c r="G20" s="508"/>
      <c r="H20" s="52"/>
      <c r="I20" s="533"/>
      <c r="J20" s="534"/>
      <c r="K20" s="550"/>
      <c r="L20" s="551"/>
      <c r="M20" s="2"/>
    </row>
    <row r="21" spans="1:13" s="1" customFormat="1" ht="12" customHeight="1">
      <c r="A21" s="509"/>
      <c r="B21" s="509"/>
      <c r="C21" s="52"/>
      <c r="D21" s="52"/>
      <c r="E21" s="509"/>
      <c r="F21" s="509"/>
      <c r="G21" s="509"/>
      <c r="H21" s="509"/>
      <c r="I21" s="52"/>
      <c r="J21" s="52"/>
      <c r="K21" s="52"/>
      <c r="L21" s="52"/>
      <c r="M21" s="2"/>
    </row>
    <row r="22" spans="1:13" s="1" customFormat="1" ht="15.6">
      <c r="A22" s="495" t="s">
        <v>145</v>
      </c>
      <c r="B22" s="481"/>
      <c r="C22" s="76" t="s">
        <v>146</v>
      </c>
      <c r="D22" s="481" t="s">
        <v>147</v>
      </c>
      <c r="E22" s="481"/>
      <c r="F22" s="481"/>
      <c r="G22" s="481" t="s">
        <v>148</v>
      </c>
      <c r="H22" s="510"/>
      <c r="I22" s="511" t="s">
        <v>149</v>
      </c>
      <c r="J22" s="511"/>
      <c r="K22" s="511"/>
      <c r="L22" s="512"/>
      <c r="M22" s="2"/>
    </row>
    <row r="23" spans="1:13" s="1" customFormat="1" ht="19.95" customHeight="1">
      <c r="A23" s="552" t="s">
        <v>150</v>
      </c>
      <c r="B23" s="553"/>
      <c r="C23" s="78"/>
      <c r="D23" s="513"/>
      <c r="E23" s="513"/>
      <c r="F23" s="513"/>
      <c r="G23" s="513"/>
      <c r="H23" s="514"/>
      <c r="I23" s="515"/>
      <c r="J23" s="515"/>
      <c r="K23" s="515"/>
      <c r="L23" s="516"/>
    </row>
    <row r="24" spans="1:13" s="1" customFormat="1" ht="19.95" customHeight="1">
      <c r="A24" s="554"/>
      <c r="B24" s="555"/>
      <c r="C24" s="78"/>
      <c r="D24" s="513"/>
      <c r="E24" s="513"/>
      <c r="F24" s="513"/>
      <c r="G24" s="513"/>
      <c r="H24" s="514"/>
      <c r="I24" s="515"/>
      <c r="J24" s="515"/>
      <c r="K24" s="515"/>
      <c r="L24" s="516"/>
    </row>
    <row r="25" spans="1:13" s="1" customFormat="1" ht="19.95" customHeight="1">
      <c r="A25" s="554"/>
      <c r="B25" s="555"/>
      <c r="C25" s="78"/>
      <c r="D25" s="513"/>
      <c r="E25" s="513"/>
      <c r="F25" s="513"/>
      <c r="G25" s="513"/>
      <c r="H25" s="514"/>
      <c r="I25" s="515"/>
      <c r="J25" s="515"/>
      <c r="K25" s="515"/>
      <c r="L25" s="516"/>
    </row>
    <row r="26" spans="1:13" s="1" customFormat="1" ht="19.95" customHeight="1">
      <c r="A26" s="554"/>
      <c r="B26" s="555"/>
      <c r="C26" s="78"/>
      <c r="D26" s="513"/>
      <c r="E26" s="513"/>
      <c r="F26" s="513"/>
      <c r="G26" s="513"/>
      <c r="H26" s="514"/>
      <c r="I26" s="515"/>
      <c r="J26" s="515"/>
      <c r="K26" s="515"/>
      <c r="L26" s="516"/>
    </row>
    <row r="27" spans="1:13" s="1" customFormat="1" ht="19.95" customHeight="1">
      <c r="A27" s="554"/>
      <c r="B27" s="555"/>
      <c r="C27" s="79"/>
      <c r="D27" s="490"/>
      <c r="E27" s="490"/>
      <c r="F27" s="490"/>
      <c r="G27" s="490"/>
      <c r="H27" s="517"/>
      <c r="I27" s="518"/>
      <c r="J27" s="518"/>
      <c r="K27" s="518"/>
      <c r="L27" s="519"/>
    </row>
    <row r="28" spans="1:13" s="1" customFormat="1" ht="12" hidden="1" customHeight="1">
      <c r="A28" s="509"/>
      <c r="B28" s="509"/>
      <c r="C28" s="52"/>
      <c r="D28" s="52"/>
      <c r="E28" s="509"/>
      <c r="F28" s="509"/>
      <c r="G28" s="509"/>
      <c r="H28" s="509"/>
      <c r="I28" s="52"/>
      <c r="J28" s="52"/>
      <c r="K28" s="52"/>
      <c r="L28" s="52"/>
    </row>
    <row r="29" spans="1:13" s="1" customFormat="1" ht="15.6">
      <c r="A29" s="495" t="s">
        <v>145</v>
      </c>
      <c r="B29" s="481"/>
      <c r="C29" s="76" t="s">
        <v>146</v>
      </c>
      <c r="D29" s="481" t="s">
        <v>147</v>
      </c>
      <c r="E29" s="481"/>
      <c r="F29" s="481"/>
      <c r="G29" s="481" t="s">
        <v>148</v>
      </c>
      <c r="H29" s="510"/>
      <c r="I29" s="511" t="s">
        <v>149</v>
      </c>
      <c r="J29" s="511"/>
      <c r="K29" s="511"/>
      <c r="L29" s="512"/>
    </row>
    <row r="30" spans="1:13" s="1" customFormat="1" ht="19.95" customHeight="1">
      <c r="A30" s="552" t="s">
        <v>151</v>
      </c>
      <c r="B30" s="553"/>
      <c r="C30" s="78"/>
      <c r="D30" s="513"/>
      <c r="E30" s="513"/>
      <c r="F30" s="513"/>
      <c r="G30" s="513"/>
      <c r="H30" s="514"/>
      <c r="I30" s="515"/>
      <c r="J30" s="515"/>
      <c r="K30" s="515"/>
      <c r="L30" s="516"/>
    </row>
    <row r="31" spans="1:13" s="1" customFormat="1" ht="19.95" customHeight="1">
      <c r="A31" s="554"/>
      <c r="B31" s="555"/>
      <c r="C31" s="78"/>
      <c r="D31" s="513"/>
      <c r="E31" s="513"/>
      <c r="F31" s="513"/>
      <c r="G31" s="513"/>
      <c r="H31" s="514"/>
      <c r="I31" s="515"/>
      <c r="J31" s="515"/>
      <c r="K31" s="515"/>
      <c r="L31" s="516"/>
    </row>
    <row r="32" spans="1:13" s="1" customFormat="1" ht="19.95" customHeight="1">
      <c r="A32" s="554"/>
      <c r="B32" s="555"/>
      <c r="C32" s="78"/>
      <c r="D32" s="513"/>
      <c r="E32" s="513"/>
      <c r="F32" s="513"/>
      <c r="G32" s="513"/>
      <c r="H32" s="514"/>
      <c r="I32" s="515"/>
      <c r="J32" s="515"/>
      <c r="K32" s="515"/>
      <c r="L32" s="516"/>
    </row>
    <row r="33" spans="1:19" s="1" customFormat="1" ht="19.95" customHeight="1">
      <c r="A33" s="554"/>
      <c r="B33" s="555"/>
      <c r="C33" s="78"/>
      <c r="D33" s="513"/>
      <c r="E33" s="513"/>
      <c r="F33" s="513"/>
      <c r="G33" s="513"/>
      <c r="H33" s="514"/>
      <c r="I33" s="515"/>
      <c r="J33" s="515"/>
      <c r="K33" s="515"/>
      <c r="L33" s="516"/>
    </row>
    <row r="34" spans="1:19" s="1" customFormat="1" ht="19.95" customHeight="1">
      <c r="A34" s="556"/>
      <c r="B34" s="557"/>
      <c r="C34" s="80"/>
      <c r="D34" s="500"/>
      <c r="E34" s="500"/>
      <c r="F34" s="500"/>
      <c r="G34" s="500"/>
      <c r="H34" s="545"/>
      <c r="I34" s="571"/>
      <c r="J34" s="572"/>
      <c r="K34" s="572"/>
      <c r="L34" s="573"/>
    </row>
    <row r="35" spans="1:19" s="1" customFormat="1" ht="19.95" customHeight="1">
      <c r="A35" s="537" t="s">
        <v>152</v>
      </c>
      <c r="B35" s="538"/>
      <c r="C35" s="538"/>
      <c r="D35" s="538"/>
      <c r="E35" s="538"/>
      <c r="F35" s="538"/>
      <c r="G35" s="538"/>
      <c r="H35" s="538"/>
      <c r="I35" s="539"/>
      <c r="J35" s="540"/>
      <c r="K35" s="540"/>
      <c r="L35" s="541"/>
    </row>
    <row r="36" spans="1:19" s="1" customFormat="1" ht="12" customHeight="1">
      <c r="A36" s="509"/>
      <c r="B36" s="509"/>
      <c r="C36" s="52"/>
      <c r="D36" s="542"/>
      <c r="E36" s="542"/>
      <c r="F36" s="542"/>
      <c r="G36" s="542"/>
      <c r="H36" s="543"/>
      <c r="I36" s="544"/>
      <c r="J36" s="544"/>
      <c r="K36" s="544"/>
      <c r="L36" s="544"/>
    </row>
    <row r="37" spans="1:19" s="1" customFormat="1" ht="15.6">
      <c r="A37" s="558" t="s">
        <v>149</v>
      </c>
      <c r="B37" s="559"/>
      <c r="C37" s="559"/>
      <c r="D37" s="559"/>
      <c r="E37" s="559"/>
      <c r="F37" s="559"/>
      <c r="G37" s="560"/>
      <c r="H37" s="77"/>
      <c r="I37" s="561" t="s">
        <v>153</v>
      </c>
      <c r="J37" s="481"/>
      <c r="K37" s="563" t="s">
        <v>154</v>
      </c>
      <c r="L37" s="482"/>
      <c r="O37" s="7"/>
      <c r="P37" s="7"/>
      <c r="Q37" s="7"/>
      <c r="R37" s="7"/>
      <c r="S37" s="7"/>
    </row>
    <row r="38" spans="1:19" s="1" customFormat="1" ht="16.05" customHeight="1">
      <c r="A38" s="531"/>
      <c r="B38" s="542"/>
      <c r="C38" s="542"/>
      <c r="D38" s="542"/>
      <c r="E38" s="542"/>
      <c r="F38" s="542"/>
      <c r="G38" s="549"/>
      <c r="H38" s="77"/>
      <c r="I38" s="562"/>
      <c r="J38" s="513"/>
      <c r="K38" s="513"/>
      <c r="L38" s="564"/>
      <c r="O38" s="7"/>
      <c r="P38" s="7"/>
      <c r="Q38" s="7"/>
      <c r="R38" s="7"/>
      <c r="S38" s="7"/>
    </row>
    <row r="39" spans="1:19" s="1" customFormat="1" ht="19.05" customHeight="1">
      <c r="A39" s="565"/>
      <c r="B39" s="566"/>
      <c r="C39" s="566"/>
      <c r="D39" s="566"/>
      <c r="E39" s="566"/>
      <c r="F39" s="566"/>
      <c r="G39" s="567"/>
      <c r="H39" s="52"/>
      <c r="I39" s="535"/>
      <c r="J39" s="485"/>
      <c r="K39" s="485"/>
      <c r="L39" s="486"/>
      <c r="O39" s="7"/>
      <c r="P39" s="7"/>
      <c r="Q39" s="7"/>
      <c r="R39" s="7"/>
      <c r="S39" s="7"/>
    </row>
    <row r="40" spans="1:19" s="1" customFormat="1" ht="19.05" customHeight="1">
      <c r="A40" s="568"/>
      <c r="B40" s="569"/>
      <c r="C40" s="569"/>
      <c r="D40" s="569"/>
      <c r="E40" s="569"/>
      <c r="F40" s="569"/>
      <c r="G40" s="570"/>
      <c r="H40" s="52"/>
      <c r="I40" s="535"/>
      <c r="J40" s="485"/>
      <c r="K40" s="485"/>
      <c r="L40" s="486"/>
    </row>
    <row r="41" spans="1:19" s="1" customFormat="1" ht="19.05" customHeight="1">
      <c r="A41" s="81"/>
      <c r="B41" s="82"/>
      <c r="C41" s="82"/>
      <c r="D41" s="82"/>
      <c r="E41" s="82"/>
      <c r="F41" s="82"/>
      <c r="G41" s="83"/>
      <c r="H41" s="52"/>
      <c r="I41" s="536"/>
      <c r="J41" s="489"/>
      <c r="K41" s="489"/>
      <c r="L41" s="508"/>
    </row>
    <row r="42" spans="1:19" s="1" customFormat="1" ht="16.05" customHeight="1">
      <c r="A42" s="7"/>
      <c r="B42" s="7"/>
      <c r="C42" s="7"/>
      <c r="D42" s="7"/>
      <c r="E42" s="7"/>
      <c r="F42" s="7"/>
      <c r="G42" s="7"/>
      <c r="H42" s="52"/>
      <c r="I42" s="7"/>
      <c r="J42" s="7"/>
      <c r="K42" s="7"/>
    </row>
    <row r="43" spans="1:19" s="1" customFormat="1" ht="16.05" customHeight="1">
      <c r="A43" s="7"/>
      <c r="B43" s="7"/>
      <c r="C43" s="7"/>
      <c r="D43" s="7"/>
      <c r="E43" s="7"/>
      <c r="F43" s="7"/>
      <c r="G43" s="7"/>
      <c r="H43" s="52"/>
      <c r="I43" s="7"/>
      <c r="J43" s="7"/>
      <c r="K43" s="7"/>
    </row>
    <row r="44" spans="1:19" s="1" customFormat="1" ht="16.05" customHeight="1">
      <c r="A44" s="7"/>
      <c r="B44" s="7"/>
      <c r="C44" s="7"/>
      <c r="D44" s="7"/>
      <c r="E44" s="7"/>
      <c r="F44" s="7"/>
      <c r="G44" s="7"/>
      <c r="H44" s="52"/>
      <c r="I44" s="7"/>
      <c r="J44" s="7"/>
      <c r="K44" s="7"/>
    </row>
    <row r="45" spans="1:19" s="1" customFormat="1" ht="15.6">
      <c r="A45" s="7"/>
      <c r="B45" s="7"/>
      <c r="C45" s="7"/>
      <c r="D45" s="7"/>
      <c r="E45" s="7"/>
      <c r="F45" s="7"/>
      <c r="G45" s="7"/>
      <c r="H45" s="6"/>
      <c r="I45" s="7"/>
      <c r="J45" s="7"/>
      <c r="K45" s="7"/>
    </row>
  </sheetData>
  <mergeCells count="100">
    <mergeCell ref="K39:L41"/>
    <mergeCell ref="K18:L20"/>
    <mergeCell ref="A23:B27"/>
    <mergeCell ref="A30:B34"/>
    <mergeCell ref="A37:G38"/>
    <mergeCell ref="I37:J38"/>
    <mergeCell ref="K37:L38"/>
    <mergeCell ref="A39:G39"/>
    <mergeCell ref="A40:G40"/>
    <mergeCell ref="I34:L34"/>
    <mergeCell ref="D31:F31"/>
    <mergeCell ref="G31:H31"/>
    <mergeCell ref="I31:L31"/>
    <mergeCell ref="D32:F32"/>
    <mergeCell ref="G32:H32"/>
    <mergeCell ref="I32:L32"/>
    <mergeCell ref="A1:B3"/>
    <mergeCell ref="C1:I3"/>
    <mergeCell ref="I18:J20"/>
    <mergeCell ref="I39:J41"/>
    <mergeCell ref="A35:F35"/>
    <mergeCell ref="G35:H35"/>
    <mergeCell ref="I35:L35"/>
    <mergeCell ref="A36:B36"/>
    <mergeCell ref="D36:F36"/>
    <mergeCell ref="G36:H36"/>
    <mergeCell ref="I36:L36"/>
    <mergeCell ref="D33:F33"/>
    <mergeCell ref="G33:H33"/>
    <mergeCell ref="I33:L33"/>
    <mergeCell ref="D34:F34"/>
    <mergeCell ref="G34:H34"/>
    <mergeCell ref="A29:B29"/>
    <mergeCell ref="D29:F29"/>
    <mergeCell ref="G29:H29"/>
    <mergeCell ref="I29:L29"/>
    <mergeCell ref="D30:F30"/>
    <mergeCell ref="G30:H30"/>
    <mergeCell ref="I30:L30"/>
    <mergeCell ref="D27:F27"/>
    <mergeCell ref="G27:H27"/>
    <mergeCell ref="I27:L27"/>
    <mergeCell ref="A28:B28"/>
    <mergeCell ref="E28:F28"/>
    <mergeCell ref="G28:H28"/>
    <mergeCell ref="D25:F25"/>
    <mergeCell ref="G25:H25"/>
    <mergeCell ref="I25:L25"/>
    <mergeCell ref="D26:F26"/>
    <mergeCell ref="G26:H26"/>
    <mergeCell ref="I26:L26"/>
    <mergeCell ref="I22:L22"/>
    <mergeCell ref="D23:F23"/>
    <mergeCell ref="G23:H23"/>
    <mergeCell ref="I23:L23"/>
    <mergeCell ref="D24:F24"/>
    <mergeCell ref="G24:H24"/>
    <mergeCell ref="I24:L24"/>
    <mergeCell ref="A21:B21"/>
    <mergeCell ref="E21:F21"/>
    <mergeCell ref="G21:H21"/>
    <mergeCell ref="A22:B22"/>
    <mergeCell ref="D22:F22"/>
    <mergeCell ref="G22:H22"/>
    <mergeCell ref="A19:B19"/>
    <mergeCell ref="C19:E19"/>
    <mergeCell ref="F19:G19"/>
    <mergeCell ref="A20:B20"/>
    <mergeCell ref="C20:E20"/>
    <mergeCell ref="F20:G20"/>
    <mergeCell ref="A17:B17"/>
    <mergeCell ref="C17:E17"/>
    <mergeCell ref="F17:G17"/>
    <mergeCell ref="A18:B18"/>
    <mergeCell ref="C18:E18"/>
    <mergeCell ref="F18:G18"/>
    <mergeCell ref="A15:G15"/>
    <mergeCell ref="I15:L15"/>
    <mergeCell ref="A16:B16"/>
    <mergeCell ref="C16:G16"/>
    <mergeCell ref="I16:J16"/>
    <mergeCell ref="K16:L16"/>
    <mergeCell ref="A12:B12"/>
    <mergeCell ref="C12:G12"/>
    <mergeCell ref="H12:L12"/>
    <mergeCell ref="A13:B13"/>
    <mergeCell ref="C13:G13"/>
    <mergeCell ref="H13:L13"/>
    <mergeCell ref="C7:H7"/>
    <mergeCell ref="A10:B10"/>
    <mergeCell ref="C10:G10"/>
    <mergeCell ref="H10:L10"/>
    <mergeCell ref="A11:B11"/>
    <mergeCell ref="C11:G11"/>
    <mergeCell ref="H11:L11"/>
    <mergeCell ref="J1:L1"/>
    <mergeCell ref="J2:L2"/>
    <mergeCell ref="J3:L3"/>
    <mergeCell ref="C5:D5"/>
    <mergeCell ref="C6:D6"/>
  </mergeCells>
  <pageMargins left="0.25" right="0.25" top="0.75" bottom="0.75" header="0.3" footer="0.3"/>
  <pageSetup paperSize="9" scale="96" fitToHeight="0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  <pageSetUpPr fitToPage="1"/>
  </sheetPr>
  <dimension ref="A1:S45"/>
  <sheetViews>
    <sheetView showGridLines="0" view="pageBreakPreview" zoomScaleNormal="100" workbookViewId="0">
      <selection activeCell="C16" sqref="C16:G16"/>
    </sheetView>
  </sheetViews>
  <sheetFormatPr defaultColWidth="9" defaultRowHeight="14.4"/>
  <cols>
    <col min="1" max="1" width="3.5546875" style="2" customWidth="1"/>
    <col min="2" max="2" width="10.44140625" style="2" customWidth="1"/>
    <col min="3" max="3" width="14.109375" style="2" customWidth="1"/>
    <col min="4" max="4" width="7.88671875" style="2" customWidth="1"/>
    <col min="5" max="5" width="6.77734375" style="2" customWidth="1"/>
    <col min="6" max="6" width="10.33203125" style="2" customWidth="1"/>
    <col min="7" max="7" width="12.21875" style="2" customWidth="1"/>
    <col min="8" max="8" width="1.88671875" style="2" customWidth="1"/>
    <col min="9" max="9" width="11.21875" style="2" customWidth="1"/>
    <col min="10" max="10" width="6.21875" style="2" customWidth="1"/>
    <col min="11" max="11" width="9.88671875" style="2" customWidth="1"/>
    <col min="12" max="12" width="7.5546875" style="2" customWidth="1"/>
    <col min="13" max="13" width="9" style="2"/>
    <col min="14" max="14" width="16.21875" style="2" customWidth="1"/>
    <col min="15" max="15" width="29" style="2" customWidth="1"/>
    <col min="16" max="16" width="9.77734375" style="2" customWidth="1"/>
    <col min="17" max="16384" width="9" style="2"/>
  </cols>
  <sheetData>
    <row r="1" spans="1:15" ht="16.2" customHeight="1">
      <c r="A1" s="520"/>
      <c r="B1" s="521"/>
      <c r="C1" s="526" t="s">
        <v>112</v>
      </c>
      <c r="D1" s="526"/>
      <c r="E1" s="526"/>
      <c r="F1" s="526"/>
      <c r="G1" s="526"/>
      <c r="H1" s="526"/>
      <c r="I1" s="526"/>
      <c r="J1" s="468" t="s">
        <v>113</v>
      </c>
      <c r="K1" s="469"/>
      <c r="L1" s="470"/>
    </row>
    <row r="2" spans="1:15" ht="16.2" customHeight="1">
      <c r="A2" s="522"/>
      <c r="B2" s="523"/>
      <c r="C2" s="527"/>
      <c r="D2" s="527"/>
      <c r="E2" s="527"/>
      <c r="F2" s="527"/>
      <c r="G2" s="527"/>
      <c r="H2" s="527"/>
      <c r="I2" s="527"/>
      <c r="J2" s="471" t="s">
        <v>114</v>
      </c>
      <c r="K2" s="472"/>
      <c r="L2" s="473"/>
      <c r="N2" s="1" t="str">
        <f>[1]In!J5</f>
        <v>SX2311007</v>
      </c>
      <c r="O2" s="1"/>
    </row>
    <row r="3" spans="1:15" ht="16.2" customHeight="1">
      <c r="A3" s="524"/>
      <c r="B3" s="525"/>
      <c r="C3" s="528"/>
      <c r="D3" s="528"/>
      <c r="E3" s="528"/>
      <c r="F3" s="528"/>
      <c r="G3" s="528"/>
      <c r="H3" s="528"/>
      <c r="I3" s="528"/>
      <c r="J3" s="474" t="s">
        <v>115</v>
      </c>
      <c r="K3" s="475"/>
      <c r="L3" s="476"/>
      <c r="N3" s="1"/>
      <c r="O3" s="1"/>
    </row>
    <row r="4" spans="1:15" ht="15" customHeight="1">
      <c r="A4" s="3"/>
      <c r="N4" s="1"/>
      <c r="O4" s="1"/>
    </row>
    <row r="5" spans="1:15" ht="15" customHeight="1">
      <c r="A5" s="71" t="s">
        <v>116</v>
      </c>
      <c r="B5" s="52"/>
      <c r="C5" s="477" t="str">
        <f>In!C8</f>
        <v>26BA2HKH00563000029</v>
      </c>
      <c r="D5" s="477"/>
      <c r="E5" s="72"/>
      <c r="F5" s="72"/>
      <c r="G5" s="72"/>
      <c r="H5" s="73"/>
      <c r="I5" s="71" t="s">
        <v>3</v>
      </c>
      <c r="J5" s="75" t="str">
        <f>In!C9</f>
        <v>SX2607045</v>
      </c>
      <c r="K5" s="52"/>
      <c r="L5" s="84"/>
      <c r="N5" s="1"/>
      <c r="O5" s="1"/>
    </row>
    <row r="6" spans="1:15" s="1" customFormat="1" ht="15" customHeight="1">
      <c r="A6" s="71" t="s">
        <v>117</v>
      </c>
      <c r="B6" s="52"/>
      <c r="C6" s="478" t="str">
        <f>In!C7</f>
        <v>BT1KH00563KP0004</v>
      </c>
      <c r="D6" s="478"/>
      <c r="E6" s="74"/>
      <c r="F6" s="74"/>
      <c r="G6" s="74"/>
      <c r="H6" s="72"/>
      <c r="I6" s="71" t="s">
        <v>118</v>
      </c>
      <c r="J6" s="85" t="s">
        <v>119</v>
      </c>
      <c r="K6" s="52"/>
      <c r="L6" s="52"/>
      <c r="M6" s="2"/>
    </row>
    <row r="7" spans="1:15" s="1" customFormat="1" ht="15" customHeight="1">
      <c r="A7" s="71" t="s">
        <v>120</v>
      </c>
      <c r="B7" s="52"/>
      <c r="C7" s="477" t="str">
        <f>In!C6</f>
        <v>Bao giấy 25kg AM-20 Tân Châu</v>
      </c>
      <c r="D7" s="477"/>
      <c r="E7" s="477"/>
      <c r="F7" s="477"/>
      <c r="G7" s="477"/>
      <c r="H7" s="477"/>
      <c r="I7" s="71" t="s">
        <v>121</v>
      </c>
      <c r="J7" s="85" t="s">
        <v>122</v>
      </c>
      <c r="K7" s="52"/>
      <c r="L7" s="52"/>
      <c r="M7" s="2"/>
    </row>
    <row r="8" spans="1:15" s="1" customFormat="1" ht="15" customHeight="1">
      <c r="A8" s="71" t="s">
        <v>123</v>
      </c>
      <c r="B8" s="75"/>
      <c r="C8" s="75" t="str">
        <f>In!C5</f>
        <v xml:space="preserve">NHÀ MÁY SX TINH BỘT SẮN TÂN CHÂU-CN CÔNG TY CPNS THỰC PHẨM QUẢNG NGÃI					</v>
      </c>
      <c r="D8" s="75"/>
      <c r="E8" s="75"/>
      <c r="F8" s="75"/>
      <c r="G8" s="75"/>
      <c r="H8" s="52"/>
      <c r="I8" s="71" t="s">
        <v>124</v>
      </c>
      <c r="J8" s="85" t="s">
        <v>122</v>
      </c>
      <c r="K8" s="52"/>
      <c r="L8" s="52"/>
      <c r="M8" s="2"/>
    </row>
    <row r="9" spans="1:15" s="1" customFormat="1" ht="15" customHeight="1">
      <c r="A9" s="71"/>
      <c r="B9" s="75"/>
      <c r="C9" s="90"/>
      <c r="D9" s="75"/>
      <c r="E9" s="75"/>
      <c r="F9" s="75"/>
      <c r="G9" s="75"/>
      <c r="H9" s="52"/>
      <c r="I9" s="75"/>
      <c r="J9" s="52"/>
      <c r="K9" s="52"/>
      <c r="L9" s="52"/>
      <c r="M9" s="2"/>
    </row>
    <row r="10" spans="1:15" s="1" customFormat="1" ht="15" customHeight="1">
      <c r="A10" s="479"/>
      <c r="B10" s="480"/>
      <c r="C10" s="481" t="s">
        <v>125</v>
      </c>
      <c r="D10" s="481"/>
      <c r="E10" s="481"/>
      <c r="F10" s="481"/>
      <c r="G10" s="481"/>
      <c r="H10" s="481" t="s">
        <v>126</v>
      </c>
      <c r="I10" s="481"/>
      <c r="J10" s="481"/>
      <c r="K10" s="481"/>
      <c r="L10" s="482"/>
      <c r="M10" s="2"/>
    </row>
    <row r="11" spans="1:15" s="1" customFormat="1" ht="15" customHeight="1">
      <c r="A11" s="483" t="s">
        <v>127</v>
      </c>
      <c r="B11" s="484"/>
      <c r="C11" s="485" t="s">
        <v>23</v>
      </c>
      <c r="D11" s="485"/>
      <c r="E11" s="485"/>
      <c r="F11" s="485"/>
      <c r="G11" s="485"/>
      <c r="H11" s="513"/>
      <c r="I11" s="513"/>
      <c r="J11" s="513"/>
      <c r="K11" s="513"/>
      <c r="L11" s="564"/>
      <c r="M11" s="2"/>
    </row>
    <row r="12" spans="1:15" s="1" customFormat="1" ht="15" customHeight="1">
      <c r="A12" s="483" t="s">
        <v>129</v>
      </c>
      <c r="B12" s="484"/>
      <c r="C12" s="485" t="s">
        <v>130</v>
      </c>
      <c r="D12" s="485"/>
      <c r="E12" s="485"/>
      <c r="F12" s="485"/>
      <c r="G12" s="485"/>
      <c r="H12" s="513"/>
      <c r="I12" s="513"/>
      <c r="J12" s="513"/>
      <c r="K12" s="513"/>
      <c r="L12" s="564"/>
      <c r="M12" s="2"/>
    </row>
    <row r="13" spans="1:15" s="1" customFormat="1" ht="15" customHeight="1">
      <c r="A13" s="487" t="s">
        <v>132</v>
      </c>
      <c r="B13" s="488"/>
      <c r="C13" s="489"/>
      <c r="D13" s="489"/>
      <c r="E13" s="489"/>
      <c r="F13" s="489"/>
      <c r="G13" s="489"/>
      <c r="H13" s="490"/>
      <c r="I13" s="490"/>
      <c r="J13" s="490"/>
      <c r="K13" s="490"/>
      <c r="L13" s="491"/>
      <c r="M13" s="2"/>
    </row>
    <row r="14" spans="1:15" s="1" customFormat="1" ht="12" customHeight="1">
      <c r="A14" s="75"/>
      <c r="B14" s="75"/>
      <c r="C14" s="75"/>
      <c r="D14" s="75"/>
      <c r="E14" s="75"/>
      <c r="F14" s="52"/>
      <c r="G14" s="52"/>
      <c r="H14" s="75"/>
      <c r="I14" s="52"/>
      <c r="J14" s="75"/>
      <c r="K14" s="52"/>
      <c r="L14" s="52"/>
      <c r="M14" s="2"/>
    </row>
    <row r="15" spans="1:15" s="1" customFormat="1" ht="19.05" customHeight="1">
      <c r="A15" s="492" t="s">
        <v>155</v>
      </c>
      <c r="B15" s="493"/>
      <c r="C15" s="493"/>
      <c r="D15" s="493"/>
      <c r="E15" s="493"/>
      <c r="F15" s="493"/>
      <c r="G15" s="494"/>
      <c r="H15" s="52"/>
      <c r="I15" s="495" t="s">
        <v>134</v>
      </c>
      <c r="J15" s="481"/>
      <c r="K15" s="481"/>
      <c r="L15" s="482"/>
      <c r="M15" s="2"/>
    </row>
    <row r="16" spans="1:15" s="1" customFormat="1" ht="16.95" customHeight="1">
      <c r="A16" s="496" t="s">
        <v>135</v>
      </c>
      <c r="B16" s="497"/>
      <c r="C16" s="484" t="s">
        <v>136</v>
      </c>
      <c r="D16" s="484"/>
      <c r="E16" s="484"/>
      <c r="F16" s="484"/>
      <c r="G16" s="498"/>
      <c r="H16" s="52"/>
      <c r="I16" s="499" t="s">
        <v>137</v>
      </c>
      <c r="J16" s="500"/>
      <c r="K16" s="500" t="s">
        <v>138</v>
      </c>
      <c r="L16" s="501"/>
      <c r="M16" s="2"/>
    </row>
    <row r="17" spans="1:13" s="1" customFormat="1" ht="16.95" customHeight="1">
      <c r="A17" s="496" t="s">
        <v>139</v>
      </c>
      <c r="B17" s="497"/>
      <c r="C17" s="503" t="str">
        <f>'In 1'!O17</f>
        <v>500 x 920</v>
      </c>
      <c r="D17" s="503"/>
      <c r="E17" s="503"/>
      <c r="F17" s="485" t="s">
        <v>140</v>
      </c>
      <c r="G17" s="486"/>
      <c r="H17" s="52"/>
      <c r="I17" s="529"/>
      <c r="J17" s="530"/>
      <c r="K17" s="546"/>
      <c r="L17" s="547"/>
      <c r="M17" s="2"/>
    </row>
    <row r="18" spans="1:13" s="1" customFormat="1" ht="16.95" customHeight="1">
      <c r="A18" s="496" t="s">
        <v>141</v>
      </c>
      <c r="B18" s="497"/>
      <c r="C18" s="503" t="str">
        <f>'In 1'!O18</f>
        <v>500 x 920</v>
      </c>
      <c r="D18" s="503"/>
      <c r="E18" s="503"/>
      <c r="F18" s="485" t="s">
        <v>140</v>
      </c>
      <c r="G18" s="486"/>
      <c r="H18" s="52"/>
      <c r="I18" s="531"/>
      <c r="J18" s="532"/>
      <c r="K18" s="548"/>
      <c r="L18" s="549"/>
      <c r="M18" s="2"/>
    </row>
    <row r="19" spans="1:13" s="1" customFormat="1" ht="16.95" customHeight="1">
      <c r="A19" s="496" t="s">
        <v>142</v>
      </c>
      <c r="B19" s="497"/>
      <c r="C19" s="503">
        <f>In!M6</f>
        <v>5000</v>
      </c>
      <c r="D19" s="503"/>
      <c r="E19" s="503"/>
      <c r="F19" s="485" t="s">
        <v>12</v>
      </c>
      <c r="G19" s="486"/>
      <c r="H19" s="52"/>
      <c r="I19" s="531"/>
      <c r="J19" s="532"/>
      <c r="K19" s="548"/>
      <c r="L19" s="549"/>
      <c r="M19" s="2"/>
    </row>
    <row r="20" spans="1:13" s="1" customFormat="1" ht="16.95" customHeight="1">
      <c r="A20" s="504" t="s">
        <v>143</v>
      </c>
      <c r="B20" s="505"/>
      <c r="C20" s="574">
        <f>In!M9</f>
        <v>4600</v>
      </c>
      <c r="D20" s="574"/>
      <c r="E20" s="574"/>
      <c r="F20" s="489" t="s">
        <v>144</v>
      </c>
      <c r="G20" s="508"/>
      <c r="H20" s="52"/>
      <c r="I20" s="533"/>
      <c r="J20" s="534"/>
      <c r="K20" s="550"/>
      <c r="L20" s="551"/>
      <c r="M20" s="2"/>
    </row>
    <row r="21" spans="1:13" s="1" customFormat="1" ht="12" customHeight="1">
      <c r="A21" s="509"/>
      <c r="B21" s="509"/>
      <c r="C21" s="52"/>
      <c r="D21" s="52"/>
      <c r="E21" s="509"/>
      <c r="F21" s="509"/>
      <c r="G21" s="509"/>
      <c r="H21" s="509"/>
      <c r="I21" s="52"/>
      <c r="J21" s="52"/>
      <c r="K21" s="52"/>
      <c r="L21" s="52"/>
      <c r="M21" s="2"/>
    </row>
    <row r="22" spans="1:13" s="1" customFormat="1" ht="15.6">
      <c r="A22" s="495" t="s">
        <v>145</v>
      </c>
      <c r="B22" s="481"/>
      <c r="C22" s="76" t="s">
        <v>146</v>
      </c>
      <c r="D22" s="481" t="s">
        <v>147</v>
      </c>
      <c r="E22" s="481"/>
      <c r="F22" s="481"/>
      <c r="G22" s="481" t="s">
        <v>148</v>
      </c>
      <c r="H22" s="510"/>
      <c r="I22" s="511" t="s">
        <v>149</v>
      </c>
      <c r="J22" s="511"/>
      <c r="K22" s="511"/>
      <c r="L22" s="512"/>
      <c r="M22" s="2"/>
    </row>
    <row r="23" spans="1:13" s="1" customFormat="1" ht="19.95" customHeight="1">
      <c r="A23" s="552" t="s">
        <v>150</v>
      </c>
      <c r="B23" s="553"/>
      <c r="C23" s="78"/>
      <c r="D23" s="513"/>
      <c r="E23" s="513"/>
      <c r="F23" s="513"/>
      <c r="G23" s="513"/>
      <c r="H23" s="514"/>
      <c r="I23" s="515"/>
      <c r="J23" s="515"/>
      <c r="K23" s="515"/>
      <c r="L23" s="516"/>
    </row>
    <row r="24" spans="1:13" s="1" customFormat="1" ht="19.95" customHeight="1">
      <c r="A24" s="554"/>
      <c r="B24" s="555"/>
      <c r="C24" s="78"/>
      <c r="D24" s="513"/>
      <c r="E24" s="513"/>
      <c r="F24" s="513"/>
      <c r="G24" s="513"/>
      <c r="H24" s="514"/>
      <c r="I24" s="515"/>
      <c r="J24" s="515"/>
      <c r="K24" s="515"/>
      <c r="L24" s="516"/>
    </row>
    <row r="25" spans="1:13" s="1" customFormat="1" ht="19.95" customHeight="1">
      <c r="A25" s="554"/>
      <c r="B25" s="555"/>
      <c r="C25" s="78"/>
      <c r="D25" s="513"/>
      <c r="E25" s="513"/>
      <c r="F25" s="513"/>
      <c r="G25" s="513"/>
      <c r="H25" s="514"/>
      <c r="I25" s="515"/>
      <c r="J25" s="515"/>
      <c r="K25" s="515"/>
      <c r="L25" s="516"/>
    </row>
    <row r="26" spans="1:13" s="1" customFormat="1" ht="19.95" customHeight="1">
      <c r="A26" s="554"/>
      <c r="B26" s="555"/>
      <c r="C26" s="78"/>
      <c r="D26" s="513"/>
      <c r="E26" s="513"/>
      <c r="F26" s="513"/>
      <c r="G26" s="513"/>
      <c r="H26" s="514"/>
      <c r="I26" s="515"/>
      <c r="J26" s="515"/>
      <c r="K26" s="515"/>
      <c r="L26" s="516"/>
    </row>
    <row r="27" spans="1:13" s="1" customFormat="1" ht="19.95" customHeight="1">
      <c r="A27" s="554"/>
      <c r="B27" s="555"/>
      <c r="C27" s="79"/>
      <c r="D27" s="490"/>
      <c r="E27" s="490"/>
      <c r="F27" s="490"/>
      <c r="G27" s="490"/>
      <c r="H27" s="517"/>
      <c r="I27" s="518"/>
      <c r="J27" s="518"/>
      <c r="K27" s="518"/>
      <c r="L27" s="519"/>
    </row>
    <row r="28" spans="1:13" s="1" customFormat="1" ht="12" hidden="1" customHeight="1">
      <c r="A28" s="509"/>
      <c r="B28" s="509"/>
      <c r="C28" s="52"/>
      <c r="D28" s="52"/>
      <c r="E28" s="509"/>
      <c r="F28" s="509"/>
      <c r="G28" s="509"/>
      <c r="H28" s="509"/>
      <c r="I28" s="52"/>
      <c r="J28" s="52"/>
      <c r="K28" s="52"/>
      <c r="L28" s="52"/>
    </row>
    <row r="29" spans="1:13" s="1" customFormat="1" ht="15.6">
      <c r="A29" s="495" t="s">
        <v>145</v>
      </c>
      <c r="B29" s="481"/>
      <c r="C29" s="76" t="s">
        <v>146</v>
      </c>
      <c r="D29" s="481" t="s">
        <v>147</v>
      </c>
      <c r="E29" s="481"/>
      <c r="F29" s="481"/>
      <c r="G29" s="481" t="s">
        <v>148</v>
      </c>
      <c r="H29" s="510"/>
      <c r="I29" s="511" t="s">
        <v>149</v>
      </c>
      <c r="J29" s="511"/>
      <c r="K29" s="511"/>
      <c r="L29" s="512"/>
    </row>
    <row r="30" spans="1:13" s="1" customFormat="1" ht="19.95" customHeight="1">
      <c r="A30" s="552" t="s">
        <v>151</v>
      </c>
      <c r="B30" s="553"/>
      <c r="C30" s="78"/>
      <c r="D30" s="513"/>
      <c r="E30" s="513"/>
      <c r="F30" s="513"/>
      <c r="G30" s="513"/>
      <c r="H30" s="514"/>
      <c r="I30" s="515"/>
      <c r="J30" s="515"/>
      <c r="K30" s="515"/>
      <c r="L30" s="516"/>
    </row>
    <row r="31" spans="1:13" s="1" customFormat="1" ht="19.95" customHeight="1">
      <c r="A31" s="554"/>
      <c r="B31" s="555"/>
      <c r="C31" s="78"/>
      <c r="D31" s="513"/>
      <c r="E31" s="513"/>
      <c r="F31" s="513"/>
      <c r="G31" s="513"/>
      <c r="H31" s="514"/>
      <c r="I31" s="515"/>
      <c r="J31" s="515"/>
      <c r="K31" s="515"/>
      <c r="L31" s="516"/>
    </row>
    <row r="32" spans="1:13" s="1" customFormat="1" ht="19.95" customHeight="1">
      <c r="A32" s="554"/>
      <c r="B32" s="555"/>
      <c r="C32" s="78"/>
      <c r="D32" s="513"/>
      <c r="E32" s="513"/>
      <c r="F32" s="513"/>
      <c r="G32" s="513"/>
      <c r="H32" s="514"/>
      <c r="I32" s="515"/>
      <c r="J32" s="515"/>
      <c r="K32" s="515"/>
      <c r="L32" s="516"/>
    </row>
    <row r="33" spans="1:19" s="1" customFormat="1" ht="19.95" customHeight="1">
      <c r="A33" s="554"/>
      <c r="B33" s="555"/>
      <c r="C33" s="78"/>
      <c r="D33" s="513"/>
      <c r="E33" s="513"/>
      <c r="F33" s="513"/>
      <c r="G33" s="513"/>
      <c r="H33" s="514"/>
      <c r="I33" s="515"/>
      <c r="J33" s="515"/>
      <c r="K33" s="515"/>
      <c r="L33" s="516"/>
    </row>
    <row r="34" spans="1:19" s="1" customFormat="1" ht="19.95" customHeight="1">
      <c r="A34" s="556"/>
      <c r="B34" s="557"/>
      <c r="C34" s="80"/>
      <c r="D34" s="500"/>
      <c r="E34" s="500"/>
      <c r="F34" s="500"/>
      <c r="G34" s="500"/>
      <c r="H34" s="545"/>
      <c r="I34" s="571"/>
      <c r="J34" s="572"/>
      <c r="K34" s="572"/>
      <c r="L34" s="573"/>
    </row>
    <row r="35" spans="1:19" s="1" customFormat="1" ht="19.95" customHeight="1">
      <c r="A35" s="537" t="s">
        <v>152</v>
      </c>
      <c r="B35" s="538"/>
      <c r="C35" s="538"/>
      <c r="D35" s="538"/>
      <c r="E35" s="538"/>
      <c r="F35" s="538"/>
      <c r="G35" s="538"/>
      <c r="H35" s="538"/>
      <c r="I35" s="539"/>
      <c r="J35" s="540"/>
      <c r="K35" s="540"/>
      <c r="L35" s="541"/>
    </row>
    <row r="36" spans="1:19" s="1" customFormat="1" ht="12" customHeight="1">
      <c r="A36" s="509"/>
      <c r="B36" s="509"/>
      <c r="C36" s="52"/>
      <c r="D36" s="542"/>
      <c r="E36" s="542"/>
      <c r="F36" s="542"/>
      <c r="G36" s="542"/>
      <c r="H36" s="543"/>
      <c r="I36" s="544"/>
      <c r="J36" s="544"/>
      <c r="K36" s="544"/>
      <c r="L36" s="544"/>
    </row>
    <row r="37" spans="1:19" s="1" customFormat="1" ht="15.6">
      <c r="A37" s="558" t="s">
        <v>149</v>
      </c>
      <c r="B37" s="559"/>
      <c r="C37" s="559"/>
      <c r="D37" s="559"/>
      <c r="E37" s="559"/>
      <c r="F37" s="559"/>
      <c r="G37" s="560"/>
      <c r="H37" s="77"/>
      <c r="I37" s="561" t="s">
        <v>153</v>
      </c>
      <c r="J37" s="481"/>
      <c r="K37" s="563" t="s">
        <v>154</v>
      </c>
      <c r="L37" s="482"/>
      <c r="O37" s="7"/>
      <c r="P37" s="7"/>
      <c r="Q37" s="7"/>
      <c r="R37" s="7"/>
      <c r="S37" s="7"/>
    </row>
    <row r="38" spans="1:19" s="1" customFormat="1" ht="16.05" customHeight="1">
      <c r="A38" s="531"/>
      <c r="B38" s="542"/>
      <c r="C38" s="542"/>
      <c r="D38" s="542"/>
      <c r="E38" s="542"/>
      <c r="F38" s="542"/>
      <c r="G38" s="549"/>
      <c r="H38" s="77"/>
      <c r="I38" s="562"/>
      <c r="J38" s="513"/>
      <c r="K38" s="513"/>
      <c r="L38" s="564"/>
      <c r="O38" s="7"/>
      <c r="P38" s="7"/>
      <c r="Q38" s="7"/>
      <c r="R38" s="7"/>
      <c r="S38" s="7"/>
    </row>
    <row r="39" spans="1:19" s="1" customFormat="1" ht="19.05" customHeight="1">
      <c r="A39" s="565"/>
      <c r="B39" s="566"/>
      <c r="C39" s="566"/>
      <c r="D39" s="566"/>
      <c r="E39" s="566"/>
      <c r="F39" s="566"/>
      <c r="G39" s="567"/>
      <c r="H39" s="52"/>
      <c r="I39" s="535"/>
      <c r="J39" s="485"/>
      <c r="K39" s="485"/>
      <c r="L39" s="486"/>
      <c r="O39" s="7"/>
      <c r="P39" s="7"/>
      <c r="Q39" s="7"/>
      <c r="R39" s="7"/>
      <c r="S39" s="7"/>
    </row>
    <row r="40" spans="1:19" s="1" customFormat="1" ht="19.05" customHeight="1">
      <c r="A40" s="568"/>
      <c r="B40" s="569"/>
      <c r="C40" s="569"/>
      <c r="D40" s="569"/>
      <c r="E40" s="569"/>
      <c r="F40" s="569"/>
      <c r="G40" s="570"/>
      <c r="H40" s="52"/>
      <c r="I40" s="535"/>
      <c r="J40" s="485"/>
      <c r="K40" s="485"/>
      <c r="L40" s="486"/>
    </row>
    <row r="41" spans="1:19" s="1" customFormat="1" ht="19.05" customHeight="1">
      <c r="A41" s="81"/>
      <c r="B41" s="82"/>
      <c r="C41" s="82"/>
      <c r="D41" s="82"/>
      <c r="E41" s="82"/>
      <c r="F41" s="82"/>
      <c r="G41" s="83"/>
      <c r="H41" s="52"/>
      <c r="I41" s="536"/>
      <c r="J41" s="489"/>
      <c r="K41" s="489"/>
      <c r="L41" s="508"/>
    </row>
    <row r="42" spans="1:19" s="1" customFormat="1" ht="16.05" customHeight="1">
      <c r="A42" s="7"/>
      <c r="B42" s="7"/>
      <c r="C42" s="7"/>
      <c r="D42" s="7"/>
      <c r="E42" s="7"/>
      <c r="F42" s="7"/>
      <c r="G42" s="7"/>
      <c r="H42" s="52"/>
      <c r="I42" s="7"/>
      <c r="J42" s="7"/>
      <c r="K42" s="7"/>
    </row>
    <row r="43" spans="1:19" s="1" customFormat="1" ht="16.05" customHeight="1">
      <c r="A43" s="7"/>
      <c r="B43" s="7"/>
      <c r="C43" s="7"/>
      <c r="D43" s="7"/>
      <c r="E43" s="7"/>
      <c r="F43" s="7"/>
      <c r="G43" s="7"/>
      <c r="H43" s="52"/>
      <c r="I43" s="7"/>
      <c r="J43" s="7"/>
      <c r="K43" s="7"/>
    </row>
    <row r="44" spans="1:19" s="1" customFormat="1" ht="16.05" customHeight="1">
      <c r="A44" s="7"/>
      <c r="B44" s="7"/>
      <c r="C44" s="7"/>
      <c r="D44" s="7"/>
      <c r="E44" s="7"/>
      <c r="F44" s="7"/>
      <c r="G44" s="7"/>
      <c r="H44" s="52"/>
      <c r="I44" s="7"/>
      <c r="J44" s="7"/>
      <c r="K44" s="7"/>
    </row>
    <row r="45" spans="1:19" s="1" customFormat="1" ht="15.6">
      <c r="A45" s="7"/>
      <c r="B45" s="7"/>
      <c r="C45" s="7"/>
      <c r="D45" s="7"/>
      <c r="E45" s="7"/>
      <c r="F45" s="7"/>
      <c r="G45" s="7"/>
      <c r="H45" s="6"/>
      <c r="I45" s="7"/>
      <c r="J45" s="7"/>
      <c r="K45" s="7"/>
    </row>
  </sheetData>
  <mergeCells count="100">
    <mergeCell ref="K39:L41"/>
    <mergeCell ref="K17:L20"/>
    <mergeCell ref="A23:B27"/>
    <mergeCell ref="A30:B34"/>
    <mergeCell ref="A37:G38"/>
    <mergeCell ref="I37:J38"/>
    <mergeCell ref="K37:L38"/>
    <mergeCell ref="A39:G39"/>
    <mergeCell ref="A40:G40"/>
    <mergeCell ref="I34:L34"/>
    <mergeCell ref="D31:F31"/>
    <mergeCell ref="G31:H31"/>
    <mergeCell ref="I31:L31"/>
    <mergeCell ref="D32:F32"/>
    <mergeCell ref="G32:H32"/>
    <mergeCell ref="I32:L32"/>
    <mergeCell ref="A1:B3"/>
    <mergeCell ref="C1:I3"/>
    <mergeCell ref="I17:J20"/>
    <mergeCell ref="I39:J41"/>
    <mergeCell ref="A35:F35"/>
    <mergeCell ref="G35:H35"/>
    <mergeCell ref="I35:L35"/>
    <mergeCell ref="A36:B36"/>
    <mergeCell ref="D36:F36"/>
    <mergeCell ref="G36:H36"/>
    <mergeCell ref="I36:L36"/>
    <mergeCell ref="D33:F33"/>
    <mergeCell ref="G33:H33"/>
    <mergeCell ref="I33:L33"/>
    <mergeCell ref="D34:F34"/>
    <mergeCell ref="G34:H34"/>
    <mergeCell ref="A29:B29"/>
    <mergeCell ref="D29:F29"/>
    <mergeCell ref="G29:H29"/>
    <mergeCell ref="I29:L29"/>
    <mergeCell ref="D30:F30"/>
    <mergeCell ref="G30:H30"/>
    <mergeCell ref="I30:L30"/>
    <mergeCell ref="D27:F27"/>
    <mergeCell ref="G27:H27"/>
    <mergeCell ref="I27:L27"/>
    <mergeCell ref="A28:B28"/>
    <mergeCell ref="E28:F28"/>
    <mergeCell ref="G28:H28"/>
    <mergeCell ref="D25:F25"/>
    <mergeCell ref="G25:H25"/>
    <mergeCell ref="I25:L25"/>
    <mergeCell ref="D26:F26"/>
    <mergeCell ref="G26:H26"/>
    <mergeCell ref="I26:L26"/>
    <mergeCell ref="I22:L22"/>
    <mergeCell ref="D23:F23"/>
    <mergeCell ref="G23:H23"/>
    <mergeCell ref="I23:L23"/>
    <mergeCell ref="D24:F24"/>
    <mergeCell ref="G24:H24"/>
    <mergeCell ref="I24:L24"/>
    <mergeCell ref="A21:B21"/>
    <mergeCell ref="E21:F21"/>
    <mergeCell ref="G21:H21"/>
    <mergeCell ref="A22:B22"/>
    <mergeCell ref="D22:F22"/>
    <mergeCell ref="G22:H22"/>
    <mergeCell ref="A19:B19"/>
    <mergeCell ref="C19:E19"/>
    <mergeCell ref="F19:G19"/>
    <mergeCell ref="A20:B20"/>
    <mergeCell ref="C20:E20"/>
    <mergeCell ref="F20:G20"/>
    <mergeCell ref="A17:B17"/>
    <mergeCell ref="C17:E17"/>
    <mergeCell ref="F17:G17"/>
    <mergeCell ref="A18:B18"/>
    <mergeCell ref="C18:E18"/>
    <mergeCell ref="F18:G18"/>
    <mergeCell ref="A15:G15"/>
    <mergeCell ref="I15:L15"/>
    <mergeCell ref="A16:B16"/>
    <mergeCell ref="C16:G16"/>
    <mergeCell ref="I16:J16"/>
    <mergeCell ref="K16:L16"/>
    <mergeCell ref="A12:B12"/>
    <mergeCell ref="C12:G12"/>
    <mergeCell ref="H12:L12"/>
    <mergeCell ref="A13:B13"/>
    <mergeCell ref="C13:G13"/>
    <mergeCell ref="H13:L13"/>
    <mergeCell ref="C7:H7"/>
    <mergeCell ref="A10:B10"/>
    <mergeCell ref="C10:G10"/>
    <mergeCell ref="H10:L10"/>
    <mergeCell ref="A11:B11"/>
    <mergeCell ref="C11:G11"/>
    <mergeCell ref="H11:L11"/>
    <mergeCell ref="J1:L1"/>
    <mergeCell ref="J2:L2"/>
    <mergeCell ref="J3:L3"/>
    <mergeCell ref="C5:D5"/>
    <mergeCell ref="C6:D6"/>
  </mergeCells>
  <pageMargins left="0.25" right="0.25" top="0.75" bottom="0.75" header="0.3" footer="0.3"/>
  <pageSetup paperSize="9" scale="96" fitToHeight="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  <pageSetUpPr fitToPage="1"/>
  </sheetPr>
  <dimension ref="A1:S45"/>
  <sheetViews>
    <sheetView showGridLines="0" view="pageBreakPreview" zoomScaleNormal="100" workbookViewId="0">
      <selection activeCell="C16" sqref="C16:G16"/>
    </sheetView>
  </sheetViews>
  <sheetFormatPr defaultColWidth="9" defaultRowHeight="14.4"/>
  <cols>
    <col min="1" max="1" width="3.5546875" style="2" customWidth="1"/>
    <col min="2" max="2" width="10.44140625" style="2" customWidth="1"/>
    <col min="3" max="3" width="14.109375" style="2" customWidth="1"/>
    <col min="4" max="4" width="7.88671875" style="2" customWidth="1"/>
    <col min="5" max="5" width="6.77734375" style="2" customWidth="1"/>
    <col min="6" max="6" width="10.33203125" style="2" customWidth="1"/>
    <col min="7" max="7" width="12.21875" style="2" customWidth="1"/>
    <col min="8" max="8" width="1.88671875" style="2" customWidth="1"/>
    <col min="9" max="9" width="11.21875" style="2" customWidth="1"/>
    <col min="10" max="10" width="6.21875" style="2" customWidth="1"/>
    <col min="11" max="11" width="9.88671875" style="2" customWidth="1"/>
    <col min="12" max="12" width="7.5546875" style="2" customWidth="1"/>
    <col min="13" max="13" width="9" style="2"/>
    <col min="14" max="14" width="16.21875" style="2" customWidth="1"/>
    <col min="15" max="15" width="29" style="2" customWidth="1"/>
    <col min="16" max="16" width="9.77734375" style="2" customWidth="1"/>
    <col min="17" max="16384" width="9" style="2"/>
  </cols>
  <sheetData>
    <row r="1" spans="1:15" ht="16.2" customHeight="1">
      <c r="A1" s="520"/>
      <c r="B1" s="521"/>
      <c r="C1" s="526" t="s">
        <v>112</v>
      </c>
      <c r="D1" s="526"/>
      <c r="E1" s="526"/>
      <c r="F1" s="526"/>
      <c r="G1" s="526"/>
      <c r="H1" s="526"/>
      <c r="I1" s="526"/>
      <c r="J1" s="468" t="s">
        <v>113</v>
      </c>
      <c r="K1" s="469"/>
      <c r="L1" s="470"/>
    </row>
    <row r="2" spans="1:15" ht="16.2" customHeight="1">
      <c r="A2" s="522"/>
      <c r="B2" s="523"/>
      <c r="C2" s="527"/>
      <c r="D2" s="527"/>
      <c r="E2" s="527"/>
      <c r="F2" s="527"/>
      <c r="G2" s="527"/>
      <c r="H2" s="527"/>
      <c r="I2" s="527"/>
      <c r="J2" s="471" t="s">
        <v>114</v>
      </c>
      <c r="K2" s="472"/>
      <c r="L2" s="473"/>
      <c r="N2" s="1" t="str">
        <f>[1]In!J5</f>
        <v>SX2311007</v>
      </c>
      <c r="O2" s="1"/>
    </row>
    <row r="3" spans="1:15" ht="16.2" customHeight="1">
      <c r="A3" s="524"/>
      <c r="B3" s="525"/>
      <c r="C3" s="528"/>
      <c r="D3" s="528"/>
      <c r="E3" s="528"/>
      <c r="F3" s="528"/>
      <c r="G3" s="528"/>
      <c r="H3" s="528"/>
      <c r="I3" s="528"/>
      <c r="J3" s="474" t="s">
        <v>115</v>
      </c>
      <c r="K3" s="475"/>
      <c r="L3" s="476"/>
      <c r="N3" s="1"/>
      <c r="O3" s="1"/>
    </row>
    <row r="4" spans="1:15" ht="15" customHeight="1">
      <c r="A4" s="3"/>
      <c r="N4" s="1"/>
      <c r="O4" s="1"/>
    </row>
    <row r="5" spans="1:15" ht="15" customHeight="1">
      <c r="A5" s="71" t="s">
        <v>116</v>
      </c>
      <c r="B5" s="52"/>
      <c r="C5" s="477" t="str">
        <f>In!C8</f>
        <v>26BA2HKH00563000029</v>
      </c>
      <c r="D5" s="477"/>
      <c r="E5" s="72"/>
      <c r="F5" s="72"/>
      <c r="G5" s="72"/>
      <c r="H5" s="73"/>
      <c r="I5" s="71" t="s">
        <v>3</v>
      </c>
      <c r="J5" s="75" t="str">
        <f>In!C9</f>
        <v>SX2607045</v>
      </c>
      <c r="K5" s="52"/>
      <c r="L5" s="84"/>
      <c r="N5" s="1"/>
      <c r="O5" s="1"/>
    </row>
    <row r="6" spans="1:15" s="1" customFormat="1" ht="15" customHeight="1">
      <c r="A6" s="71" t="s">
        <v>117</v>
      </c>
      <c r="B6" s="52"/>
      <c r="C6" s="478" t="str">
        <f>In!C7</f>
        <v>BT1KH00563KP0004</v>
      </c>
      <c r="D6" s="478"/>
      <c r="E6" s="74"/>
      <c r="F6" s="74"/>
      <c r="G6" s="74"/>
      <c r="H6" s="72"/>
      <c r="I6" s="71" t="s">
        <v>118</v>
      </c>
      <c r="J6" s="85" t="s">
        <v>119</v>
      </c>
      <c r="K6" s="52"/>
      <c r="L6" s="52"/>
      <c r="M6" s="2"/>
    </row>
    <row r="7" spans="1:15" s="1" customFormat="1" ht="15" customHeight="1">
      <c r="A7" s="71" t="s">
        <v>120</v>
      </c>
      <c r="B7" s="52"/>
      <c r="C7" s="477" t="str">
        <f>In!C6</f>
        <v>Bao giấy 25kg AM-20 Tân Châu</v>
      </c>
      <c r="D7" s="477"/>
      <c r="E7" s="477"/>
      <c r="F7" s="477"/>
      <c r="G7" s="477"/>
      <c r="H7" s="477"/>
      <c r="I7" s="71" t="s">
        <v>121</v>
      </c>
      <c r="J7" s="85" t="s">
        <v>122</v>
      </c>
      <c r="K7" s="52"/>
      <c r="L7" s="52"/>
      <c r="M7" s="2"/>
    </row>
    <row r="8" spans="1:15" s="1" customFormat="1" ht="15" customHeight="1">
      <c r="A8" s="71" t="s">
        <v>123</v>
      </c>
      <c r="B8" s="75"/>
      <c r="C8" s="75" t="str">
        <f>In!C5</f>
        <v xml:space="preserve">NHÀ MÁY SX TINH BỘT SẮN TÂN CHÂU-CN CÔNG TY CPNS THỰC PHẨM QUẢNG NGÃI					</v>
      </c>
      <c r="D8" s="75"/>
      <c r="E8" s="75"/>
      <c r="F8" s="75"/>
      <c r="G8" s="75"/>
      <c r="H8" s="52"/>
      <c r="I8" s="71" t="s">
        <v>124</v>
      </c>
      <c r="J8" s="85" t="s">
        <v>122</v>
      </c>
      <c r="K8" s="52"/>
      <c r="L8" s="52"/>
      <c r="M8" s="2"/>
    </row>
    <row r="9" spans="1:15" s="1" customFormat="1" ht="15" customHeight="1">
      <c r="A9" s="71"/>
      <c r="B9" s="75"/>
      <c r="C9" s="75"/>
      <c r="D9" s="75"/>
      <c r="E9" s="75"/>
      <c r="F9" s="75"/>
      <c r="G9" s="75"/>
      <c r="H9" s="52"/>
      <c r="I9" s="75"/>
      <c r="J9" s="52"/>
      <c r="K9" s="52"/>
      <c r="L9" s="52"/>
      <c r="M9" s="2"/>
    </row>
    <row r="10" spans="1:15" s="1" customFormat="1" ht="15" customHeight="1">
      <c r="A10" s="479"/>
      <c r="B10" s="480"/>
      <c r="C10" s="481" t="s">
        <v>125</v>
      </c>
      <c r="D10" s="481"/>
      <c r="E10" s="481"/>
      <c r="F10" s="481"/>
      <c r="G10" s="481"/>
      <c r="H10" s="481" t="s">
        <v>126</v>
      </c>
      <c r="I10" s="481"/>
      <c r="J10" s="481"/>
      <c r="K10" s="481"/>
      <c r="L10" s="482"/>
      <c r="M10" s="2"/>
    </row>
    <row r="11" spans="1:15" s="1" customFormat="1" ht="15" customHeight="1">
      <c r="A11" s="483" t="s">
        <v>127</v>
      </c>
      <c r="B11" s="484"/>
      <c r="C11" s="485" t="s">
        <v>23</v>
      </c>
      <c r="D11" s="485"/>
      <c r="E11" s="485"/>
      <c r="F11" s="485"/>
      <c r="G11" s="485"/>
      <c r="H11" s="513"/>
      <c r="I11" s="513"/>
      <c r="J11" s="513"/>
      <c r="K11" s="513"/>
      <c r="L11" s="564"/>
      <c r="M11" s="2"/>
    </row>
    <row r="12" spans="1:15" s="1" customFormat="1" ht="15" customHeight="1">
      <c r="A12" s="483" t="s">
        <v>129</v>
      </c>
      <c r="B12" s="484"/>
      <c r="C12" s="485" t="s">
        <v>130</v>
      </c>
      <c r="D12" s="485"/>
      <c r="E12" s="485"/>
      <c r="F12" s="485"/>
      <c r="G12" s="485"/>
      <c r="H12" s="513"/>
      <c r="I12" s="513"/>
      <c r="J12" s="513"/>
      <c r="K12" s="513"/>
      <c r="L12" s="564"/>
      <c r="M12" s="2"/>
    </row>
    <row r="13" spans="1:15" s="1" customFormat="1" ht="15" customHeight="1">
      <c r="A13" s="487" t="s">
        <v>132</v>
      </c>
      <c r="B13" s="488"/>
      <c r="C13" s="489"/>
      <c r="D13" s="489"/>
      <c r="E13" s="489"/>
      <c r="F13" s="489"/>
      <c r="G13" s="489"/>
      <c r="H13" s="490"/>
      <c r="I13" s="490"/>
      <c r="J13" s="490"/>
      <c r="K13" s="490"/>
      <c r="L13" s="491"/>
      <c r="M13" s="2"/>
    </row>
    <row r="14" spans="1:15" s="1" customFormat="1" ht="12" customHeight="1">
      <c r="A14" s="75"/>
      <c r="B14" s="75"/>
      <c r="C14" s="75"/>
      <c r="D14" s="75"/>
      <c r="E14" s="75"/>
      <c r="F14" s="52"/>
      <c r="G14" s="52"/>
      <c r="H14" s="75"/>
      <c r="I14" s="52"/>
      <c r="J14" s="75"/>
      <c r="K14" s="52"/>
      <c r="L14" s="52"/>
      <c r="M14" s="2"/>
    </row>
    <row r="15" spans="1:15" s="1" customFormat="1" ht="19.05" customHeight="1">
      <c r="A15" s="492" t="s">
        <v>156</v>
      </c>
      <c r="B15" s="493"/>
      <c r="C15" s="493"/>
      <c r="D15" s="493"/>
      <c r="E15" s="493"/>
      <c r="F15" s="493"/>
      <c r="G15" s="494"/>
      <c r="H15" s="52"/>
      <c r="I15" s="495" t="s">
        <v>134</v>
      </c>
      <c r="J15" s="481"/>
      <c r="K15" s="481"/>
      <c r="L15" s="482"/>
      <c r="M15" s="2"/>
    </row>
    <row r="16" spans="1:15" s="1" customFormat="1" ht="16.95" customHeight="1">
      <c r="A16" s="496" t="s">
        <v>135</v>
      </c>
      <c r="B16" s="497"/>
      <c r="C16" s="484" t="s">
        <v>136</v>
      </c>
      <c r="D16" s="484"/>
      <c r="E16" s="484"/>
      <c r="F16" s="484"/>
      <c r="G16" s="498"/>
      <c r="H16" s="52"/>
      <c r="I16" s="499" t="s">
        <v>137</v>
      </c>
      <c r="J16" s="500"/>
      <c r="K16" s="500" t="s">
        <v>138</v>
      </c>
      <c r="L16" s="501"/>
      <c r="M16" s="2"/>
    </row>
    <row r="17" spans="1:13" s="1" customFormat="1" ht="16.95" customHeight="1">
      <c r="A17" s="496" t="s">
        <v>139</v>
      </c>
      <c r="B17" s="497"/>
      <c r="C17" s="503" t="str">
        <f>'In 1'!C17</f>
        <v>500 x 920</v>
      </c>
      <c r="D17" s="503"/>
      <c r="E17" s="503"/>
      <c r="F17" s="485" t="s">
        <v>140</v>
      </c>
      <c r="G17" s="486"/>
      <c r="H17" s="52"/>
      <c r="I17" s="529"/>
      <c r="J17" s="530"/>
      <c r="K17" s="546"/>
      <c r="L17" s="547"/>
      <c r="M17" s="2"/>
    </row>
    <row r="18" spans="1:13" s="1" customFormat="1" ht="16.95" customHeight="1">
      <c r="A18" s="496" t="s">
        <v>141</v>
      </c>
      <c r="B18" s="497"/>
      <c r="C18" s="503" t="str">
        <f>'In 1'!C18</f>
        <v>500 x 920</v>
      </c>
      <c r="D18" s="503"/>
      <c r="E18" s="503"/>
      <c r="F18" s="485" t="s">
        <v>140</v>
      </c>
      <c r="G18" s="486"/>
      <c r="H18" s="52"/>
      <c r="I18" s="531"/>
      <c r="J18" s="532"/>
      <c r="K18" s="548"/>
      <c r="L18" s="549"/>
      <c r="M18" s="2"/>
    </row>
    <row r="19" spans="1:13" s="1" customFormat="1" ht="16.95" customHeight="1">
      <c r="A19" s="496" t="s">
        <v>142</v>
      </c>
      <c r="B19" s="497"/>
      <c r="C19" s="503">
        <f>In!M6</f>
        <v>5000</v>
      </c>
      <c r="D19" s="503"/>
      <c r="E19" s="503"/>
      <c r="F19" s="485" t="s">
        <v>12</v>
      </c>
      <c r="G19" s="486"/>
      <c r="H19" s="52"/>
      <c r="I19" s="531"/>
      <c r="J19" s="532"/>
      <c r="K19" s="548"/>
      <c r="L19" s="549"/>
      <c r="M19" s="2"/>
    </row>
    <row r="20" spans="1:13" s="1" customFormat="1" ht="16.95" customHeight="1">
      <c r="A20" s="504" t="s">
        <v>143</v>
      </c>
      <c r="B20" s="505"/>
      <c r="C20" s="574">
        <f>In!M9</f>
        <v>4600</v>
      </c>
      <c r="D20" s="574"/>
      <c r="E20" s="574"/>
      <c r="F20" s="489" t="s">
        <v>144</v>
      </c>
      <c r="G20" s="508"/>
      <c r="H20" s="52"/>
      <c r="I20" s="533"/>
      <c r="J20" s="534"/>
      <c r="K20" s="550"/>
      <c r="L20" s="551"/>
      <c r="M20" s="2"/>
    </row>
    <row r="21" spans="1:13" s="1" customFormat="1" ht="12" customHeight="1">
      <c r="A21" s="509"/>
      <c r="B21" s="509"/>
      <c r="C21" s="52"/>
      <c r="D21" s="52"/>
      <c r="E21" s="509"/>
      <c r="F21" s="509"/>
      <c r="G21" s="509"/>
      <c r="H21" s="509"/>
      <c r="I21" s="52"/>
      <c r="J21" s="52"/>
      <c r="K21" s="52"/>
      <c r="L21" s="52"/>
      <c r="M21" s="2"/>
    </row>
    <row r="22" spans="1:13" s="1" customFormat="1" ht="15.6">
      <c r="A22" s="495" t="s">
        <v>145</v>
      </c>
      <c r="B22" s="481"/>
      <c r="C22" s="76" t="s">
        <v>146</v>
      </c>
      <c r="D22" s="481" t="s">
        <v>147</v>
      </c>
      <c r="E22" s="481"/>
      <c r="F22" s="481"/>
      <c r="G22" s="481" t="s">
        <v>148</v>
      </c>
      <c r="H22" s="510"/>
      <c r="I22" s="511" t="s">
        <v>149</v>
      </c>
      <c r="J22" s="511"/>
      <c r="K22" s="511"/>
      <c r="L22" s="512"/>
      <c r="M22" s="2"/>
    </row>
    <row r="23" spans="1:13" s="1" customFormat="1" ht="19.95" customHeight="1">
      <c r="A23" s="552" t="s">
        <v>150</v>
      </c>
      <c r="B23" s="553"/>
      <c r="C23" s="78"/>
      <c r="D23" s="513"/>
      <c r="E23" s="513"/>
      <c r="F23" s="513"/>
      <c r="G23" s="513"/>
      <c r="H23" s="514"/>
      <c r="I23" s="515"/>
      <c r="J23" s="515"/>
      <c r="K23" s="515"/>
      <c r="L23" s="516"/>
    </row>
    <row r="24" spans="1:13" s="1" customFormat="1" ht="19.95" customHeight="1">
      <c r="A24" s="554"/>
      <c r="B24" s="555"/>
      <c r="C24" s="78"/>
      <c r="D24" s="513"/>
      <c r="E24" s="513"/>
      <c r="F24" s="513"/>
      <c r="G24" s="513"/>
      <c r="H24" s="514"/>
      <c r="I24" s="515"/>
      <c r="J24" s="515"/>
      <c r="K24" s="515"/>
      <c r="L24" s="516"/>
    </row>
    <row r="25" spans="1:13" s="1" customFormat="1" ht="19.95" customHeight="1">
      <c r="A25" s="554"/>
      <c r="B25" s="555"/>
      <c r="C25" s="78"/>
      <c r="D25" s="513"/>
      <c r="E25" s="513"/>
      <c r="F25" s="513"/>
      <c r="G25" s="513"/>
      <c r="H25" s="514"/>
      <c r="I25" s="515"/>
      <c r="J25" s="515"/>
      <c r="K25" s="515"/>
      <c r="L25" s="516"/>
    </row>
    <row r="26" spans="1:13" s="1" customFormat="1" ht="19.95" customHeight="1">
      <c r="A26" s="554"/>
      <c r="B26" s="555"/>
      <c r="C26" s="78"/>
      <c r="D26" s="513"/>
      <c r="E26" s="513"/>
      <c r="F26" s="513"/>
      <c r="G26" s="513"/>
      <c r="H26" s="514"/>
      <c r="I26" s="515"/>
      <c r="J26" s="515"/>
      <c r="K26" s="515"/>
      <c r="L26" s="516"/>
    </row>
    <row r="27" spans="1:13" s="1" customFormat="1" ht="19.95" customHeight="1">
      <c r="A27" s="554"/>
      <c r="B27" s="555"/>
      <c r="C27" s="79"/>
      <c r="D27" s="490"/>
      <c r="E27" s="490"/>
      <c r="F27" s="490"/>
      <c r="G27" s="490"/>
      <c r="H27" s="517"/>
      <c r="I27" s="518"/>
      <c r="J27" s="518"/>
      <c r="K27" s="518"/>
      <c r="L27" s="519"/>
    </row>
    <row r="28" spans="1:13" s="1" customFormat="1" ht="12" hidden="1" customHeight="1">
      <c r="A28" s="509"/>
      <c r="B28" s="509"/>
      <c r="C28" s="52"/>
      <c r="D28" s="52"/>
      <c r="E28" s="509"/>
      <c r="F28" s="509"/>
      <c r="G28" s="509"/>
      <c r="H28" s="509"/>
      <c r="I28" s="52"/>
      <c r="J28" s="52"/>
      <c r="K28" s="52"/>
      <c r="L28" s="52"/>
    </row>
    <row r="29" spans="1:13" s="1" customFormat="1" ht="15.6">
      <c r="A29" s="495" t="s">
        <v>145</v>
      </c>
      <c r="B29" s="481"/>
      <c r="C29" s="76" t="s">
        <v>146</v>
      </c>
      <c r="D29" s="481" t="s">
        <v>147</v>
      </c>
      <c r="E29" s="481"/>
      <c r="F29" s="481"/>
      <c r="G29" s="481" t="s">
        <v>148</v>
      </c>
      <c r="H29" s="510"/>
      <c r="I29" s="511" t="s">
        <v>149</v>
      </c>
      <c r="J29" s="511"/>
      <c r="K29" s="511"/>
      <c r="L29" s="512"/>
    </row>
    <row r="30" spans="1:13" s="1" customFormat="1" ht="19.95" customHeight="1">
      <c r="A30" s="552" t="s">
        <v>151</v>
      </c>
      <c r="B30" s="553"/>
      <c r="C30" s="78"/>
      <c r="D30" s="513"/>
      <c r="E30" s="513"/>
      <c r="F30" s="513"/>
      <c r="G30" s="513"/>
      <c r="H30" s="514"/>
      <c r="I30" s="515"/>
      <c r="J30" s="515"/>
      <c r="K30" s="515"/>
      <c r="L30" s="516"/>
    </row>
    <row r="31" spans="1:13" s="1" customFormat="1" ht="19.95" customHeight="1">
      <c r="A31" s="554"/>
      <c r="B31" s="555"/>
      <c r="C31" s="78"/>
      <c r="D31" s="513"/>
      <c r="E31" s="513"/>
      <c r="F31" s="513"/>
      <c r="G31" s="513"/>
      <c r="H31" s="514"/>
      <c r="I31" s="515"/>
      <c r="J31" s="515"/>
      <c r="K31" s="515"/>
      <c r="L31" s="516"/>
    </row>
    <row r="32" spans="1:13" s="1" customFormat="1" ht="19.95" customHeight="1">
      <c r="A32" s="554"/>
      <c r="B32" s="555"/>
      <c r="C32" s="78"/>
      <c r="D32" s="513"/>
      <c r="E32" s="513"/>
      <c r="F32" s="513"/>
      <c r="G32" s="513"/>
      <c r="H32" s="514"/>
      <c r="I32" s="515"/>
      <c r="J32" s="515"/>
      <c r="K32" s="515"/>
      <c r="L32" s="516"/>
    </row>
    <row r="33" spans="1:19" s="1" customFormat="1" ht="19.95" customHeight="1">
      <c r="A33" s="554"/>
      <c r="B33" s="555"/>
      <c r="C33" s="78"/>
      <c r="D33" s="513"/>
      <c r="E33" s="513"/>
      <c r="F33" s="513"/>
      <c r="G33" s="513"/>
      <c r="H33" s="514"/>
      <c r="I33" s="515"/>
      <c r="J33" s="515"/>
      <c r="K33" s="515"/>
      <c r="L33" s="516"/>
    </row>
    <row r="34" spans="1:19" s="1" customFormat="1" ht="19.95" customHeight="1">
      <c r="A34" s="556"/>
      <c r="B34" s="557"/>
      <c r="C34" s="80"/>
      <c r="D34" s="500"/>
      <c r="E34" s="500"/>
      <c r="F34" s="500"/>
      <c r="G34" s="500"/>
      <c r="H34" s="545"/>
      <c r="I34" s="571"/>
      <c r="J34" s="572"/>
      <c r="K34" s="572"/>
      <c r="L34" s="573"/>
    </row>
    <row r="35" spans="1:19" s="1" customFormat="1" ht="19.95" customHeight="1">
      <c r="A35" s="537" t="s">
        <v>152</v>
      </c>
      <c r="B35" s="538"/>
      <c r="C35" s="538"/>
      <c r="D35" s="538"/>
      <c r="E35" s="538"/>
      <c r="F35" s="538"/>
      <c r="G35" s="538"/>
      <c r="H35" s="538"/>
      <c r="I35" s="539"/>
      <c r="J35" s="540"/>
      <c r="K35" s="540"/>
      <c r="L35" s="541"/>
    </row>
    <row r="36" spans="1:19" s="1" customFormat="1" ht="12" customHeight="1">
      <c r="A36" s="509"/>
      <c r="B36" s="509"/>
      <c r="C36" s="52"/>
      <c r="D36" s="542"/>
      <c r="E36" s="542"/>
      <c r="F36" s="542"/>
      <c r="G36" s="542"/>
      <c r="H36" s="543"/>
      <c r="I36" s="544"/>
      <c r="J36" s="544"/>
      <c r="K36" s="544"/>
      <c r="L36" s="544"/>
    </row>
    <row r="37" spans="1:19" s="1" customFormat="1" ht="15.6">
      <c r="A37" s="558" t="s">
        <v>149</v>
      </c>
      <c r="B37" s="559"/>
      <c r="C37" s="559"/>
      <c r="D37" s="559"/>
      <c r="E37" s="559"/>
      <c r="F37" s="559"/>
      <c r="G37" s="560"/>
      <c r="H37" s="77"/>
      <c r="I37" s="561" t="s">
        <v>153</v>
      </c>
      <c r="J37" s="481"/>
      <c r="K37" s="563" t="s">
        <v>154</v>
      </c>
      <c r="L37" s="482"/>
      <c r="O37" s="7"/>
      <c r="P37" s="7"/>
      <c r="Q37" s="7"/>
      <c r="R37" s="7"/>
      <c r="S37" s="7"/>
    </row>
    <row r="38" spans="1:19" s="1" customFormat="1" ht="16.05" customHeight="1">
      <c r="A38" s="531"/>
      <c r="B38" s="542"/>
      <c r="C38" s="542"/>
      <c r="D38" s="542"/>
      <c r="E38" s="542"/>
      <c r="F38" s="542"/>
      <c r="G38" s="549"/>
      <c r="H38" s="77"/>
      <c r="I38" s="562"/>
      <c r="J38" s="513"/>
      <c r="K38" s="513"/>
      <c r="L38" s="564"/>
      <c r="O38" s="7"/>
      <c r="P38" s="7"/>
      <c r="Q38" s="7"/>
      <c r="R38" s="7"/>
      <c r="S38" s="7"/>
    </row>
    <row r="39" spans="1:19" s="1" customFormat="1" ht="19.05" customHeight="1">
      <c r="A39" s="565"/>
      <c r="B39" s="566"/>
      <c r="C39" s="566"/>
      <c r="D39" s="566"/>
      <c r="E39" s="566"/>
      <c r="F39" s="566"/>
      <c r="G39" s="567"/>
      <c r="H39" s="52"/>
      <c r="I39" s="535"/>
      <c r="J39" s="485"/>
      <c r="K39" s="485"/>
      <c r="L39" s="486"/>
      <c r="O39" s="7"/>
      <c r="P39" s="7"/>
      <c r="Q39" s="7"/>
      <c r="R39" s="7"/>
      <c r="S39" s="7"/>
    </row>
    <row r="40" spans="1:19" s="1" customFormat="1" ht="19.05" customHeight="1">
      <c r="A40" s="568"/>
      <c r="B40" s="569"/>
      <c r="C40" s="569"/>
      <c r="D40" s="569"/>
      <c r="E40" s="569"/>
      <c r="F40" s="569"/>
      <c r="G40" s="570"/>
      <c r="H40" s="52"/>
      <c r="I40" s="535"/>
      <c r="J40" s="485"/>
      <c r="K40" s="485"/>
      <c r="L40" s="486"/>
    </row>
    <row r="41" spans="1:19" s="1" customFormat="1" ht="19.05" customHeight="1">
      <c r="A41" s="81"/>
      <c r="B41" s="82"/>
      <c r="C41" s="82"/>
      <c r="D41" s="82"/>
      <c r="E41" s="82"/>
      <c r="F41" s="82"/>
      <c r="G41" s="83"/>
      <c r="H41" s="52"/>
      <c r="I41" s="536"/>
      <c r="J41" s="489"/>
      <c r="K41" s="489"/>
      <c r="L41" s="508"/>
    </row>
    <row r="42" spans="1:19" s="1" customFormat="1" ht="16.05" customHeight="1">
      <c r="A42" s="7"/>
      <c r="B42" s="7"/>
      <c r="C42" s="7"/>
      <c r="D42" s="7"/>
      <c r="E42" s="7"/>
      <c r="F42" s="7"/>
      <c r="G42" s="7"/>
      <c r="H42" s="52"/>
      <c r="I42" s="7"/>
      <c r="J42" s="7"/>
      <c r="K42" s="7"/>
    </row>
    <row r="43" spans="1:19" s="1" customFormat="1" ht="16.05" customHeight="1">
      <c r="A43" s="7"/>
      <c r="B43" s="7"/>
      <c r="C43" s="7"/>
      <c r="D43" s="7"/>
      <c r="E43" s="7"/>
      <c r="F43" s="7"/>
      <c r="G43" s="7"/>
      <c r="H43" s="52"/>
      <c r="I43" s="7"/>
      <c r="J43" s="7"/>
      <c r="K43" s="7"/>
    </row>
    <row r="44" spans="1:19" s="1" customFormat="1" ht="16.05" customHeight="1">
      <c r="A44" s="7"/>
      <c r="B44" s="7"/>
      <c r="C44" s="7"/>
      <c r="D44" s="7"/>
      <c r="E44" s="7"/>
      <c r="F44" s="7"/>
      <c r="G44" s="7"/>
      <c r="H44" s="52"/>
      <c r="I44" s="7"/>
      <c r="J44" s="7"/>
      <c r="K44" s="7"/>
    </row>
    <row r="45" spans="1:19" s="1" customFormat="1" ht="15.6">
      <c r="A45" s="7"/>
      <c r="B45" s="7"/>
      <c r="C45" s="7"/>
      <c r="D45" s="7"/>
      <c r="E45" s="7"/>
      <c r="F45" s="7"/>
      <c r="G45" s="7"/>
      <c r="H45" s="6"/>
      <c r="I45" s="7"/>
      <c r="J45" s="7"/>
      <c r="K45" s="7"/>
    </row>
  </sheetData>
  <mergeCells count="100">
    <mergeCell ref="K39:L41"/>
    <mergeCell ref="K17:L20"/>
    <mergeCell ref="A23:B27"/>
    <mergeCell ref="A30:B34"/>
    <mergeCell ref="A37:G38"/>
    <mergeCell ref="I37:J38"/>
    <mergeCell ref="K37:L38"/>
    <mergeCell ref="A39:G39"/>
    <mergeCell ref="A40:G40"/>
    <mergeCell ref="I34:L34"/>
    <mergeCell ref="D31:F31"/>
    <mergeCell ref="G31:H31"/>
    <mergeCell ref="I31:L31"/>
    <mergeCell ref="D32:F32"/>
    <mergeCell ref="G32:H32"/>
    <mergeCell ref="I32:L32"/>
    <mergeCell ref="A1:B3"/>
    <mergeCell ref="C1:I3"/>
    <mergeCell ref="I17:J20"/>
    <mergeCell ref="I39:J41"/>
    <mergeCell ref="A35:F35"/>
    <mergeCell ref="G35:H35"/>
    <mergeCell ref="I35:L35"/>
    <mergeCell ref="A36:B36"/>
    <mergeCell ref="D36:F36"/>
    <mergeCell ref="G36:H36"/>
    <mergeCell ref="I36:L36"/>
    <mergeCell ref="D33:F33"/>
    <mergeCell ref="G33:H33"/>
    <mergeCell ref="I33:L33"/>
    <mergeCell ref="D34:F34"/>
    <mergeCell ref="G34:H34"/>
    <mergeCell ref="A29:B29"/>
    <mergeCell ref="D29:F29"/>
    <mergeCell ref="G29:H29"/>
    <mergeCell ref="I29:L29"/>
    <mergeCell ref="D30:F30"/>
    <mergeCell ref="G30:H30"/>
    <mergeCell ref="I30:L30"/>
    <mergeCell ref="D27:F27"/>
    <mergeCell ref="G27:H27"/>
    <mergeCell ref="I27:L27"/>
    <mergeCell ref="A28:B28"/>
    <mergeCell ref="E28:F28"/>
    <mergeCell ref="G28:H28"/>
    <mergeCell ref="D25:F25"/>
    <mergeCell ref="G25:H25"/>
    <mergeCell ref="I25:L25"/>
    <mergeCell ref="D26:F26"/>
    <mergeCell ref="G26:H26"/>
    <mergeCell ref="I26:L26"/>
    <mergeCell ref="I22:L22"/>
    <mergeCell ref="D23:F23"/>
    <mergeCell ref="G23:H23"/>
    <mergeCell ref="I23:L23"/>
    <mergeCell ref="D24:F24"/>
    <mergeCell ref="G24:H24"/>
    <mergeCell ref="I24:L24"/>
    <mergeCell ref="A21:B21"/>
    <mergeCell ref="E21:F21"/>
    <mergeCell ref="G21:H21"/>
    <mergeCell ref="A22:B22"/>
    <mergeCell ref="D22:F22"/>
    <mergeCell ref="G22:H22"/>
    <mergeCell ref="A19:B19"/>
    <mergeCell ref="C19:E19"/>
    <mergeCell ref="F19:G19"/>
    <mergeCell ref="A20:B20"/>
    <mergeCell ref="C20:E20"/>
    <mergeCell ref="F20:G20"/>
    <mergeCell ref="A17:B17"/>
    <mergeCell ref="C17:E17"/>
    <mergeCell ref="F17:G17"/>
    <mergeCell ref="A18:B18"/>
    <mergeCell ref="C18:E18"/>
    <mergeCell ref="F18:G18"/>
    <mergeCell ref="A15:G15"/>
    <mergeCell ref="I15:L15"/>
    <mergeCell ref="A16:B16"/>
    <mergeCell ref="C16:G16"/>
    <mergeCell ref="I16:J16"/>
    <mergeCell ref="K16:L16"/>
    <mergeCell ref="A12:B12"/>
    <mergeCell ref="C12:G12"/>
    <mergeCell ref="H12:L12"/>
    <mergeCell ref="A13:B13"/>
    <mergeCell ref="C13:G13"/>
    <mergeCell ref="H13:L13"/>
    <mergeCell ref="C7:H7"/>
    <mergeCell ref="A10:B10"/>
    <mergeCell ref="C10:G10"/>
    <mergeCell ref="H10:L10"/>
    <mergeCell ref="A11:B11"/>
    <mergeCell ref="C11:G11"/>
    <mergeCell ref="H11:L11"/>
    <mergeCell ref="J1:L1"/>
    <mergeCell ref="J2:L2"/>
    <mergeCell ref="J3:L3"/>
    <mergeCell ref="C5:D5"/>
    <mergeCell ref="C6:D6"/>
  </mergeCells>
  <pageMargins left="0.25" right="0.25" top="0.75" bottom="0.75" header="0.3" footer="0.3"/>
  <pageSetup paperSize="9" scale="96" fitToHeight="0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F0"/>
    <pageSetUpPr fitToPage="1"/>
  </sheetPr>
  <dimension ref="A1:X68"/>
  <sheetViews>
    <sheetView showGridLines="0" view="pageBreakPreview" zoomScale="25" zoomScaleNormal="100" zoomScaleSheetLayoutView="25" zoomScalePageLayoutView="85" workbookViewId="0">
      <selection activeCell="R1" sqref="R1"/>
    </sheetView>
  </sheetViews>
  <sheetFormatPr defaultColWidth="8.88671875" defaultRowHeight="13.8"/>
  <cols>
    <col min="1" max="1" width="4" style="91" customWidth="1"/>
    <col min="2" max="2" width="19.21875" style="91" customWidth="1"/>
    <col min="3" max="3" width="6.77734375" style="91" customWidth="1"/>
    <col min="4" max="4" width="10.109375" style="91" customWidth="1"/>
    <col min="5" max="6" width="9" style="91" customWidth="1"/>
    <col min="7" max="8" width="10.33203125" style="91" customWidth="1"/>
    <col min="9" max="9" width="1.77734375" style="91" customWidth="1"/>
    <col min="10" max="10" width="4" style="91" customWidth="1"/>
    <col min="11" max="11" width="11.109375" style="91" customWidth="1"/>
    <col min="12" max="12" width="4.77734375" style="91" customWidth="1"/>
    <col min="13" max="13" width="13.5546875" style="91" customWidth="1"/>
    <col min="14" max="15" width="8.88671875" style="91" customWidth="1"/>
    <col min="16" max="16" width="8" style="91" customWidth="1"/>
    <col min="17" max="17" width="8.88671875" style="91" customWidth="1"/>
    <col min="18" max="18" width="8.88671875" style="91"/>
    <col min="19" max="19" width="9.88671875" style="91" customWidth="1"/>
    <col min="20" max="20" width="50.6640625" style="91" customWidth="1"/>
    <col min="21" max="21" width="35.5546875" style="91" customWidth="1"/>
    <col min="22" max="16384" width="8.88671875" style="91"/>
  </cols>
  <sheetData>
    <row r="1" spans="1:24" ht="19.05" customHeight="1">
      <c r="A1" s="339"/>
      <c r="B1" s="339"/>
      <c r="C1" s="581"/>
      <c r="D1" s="581"/>
      <c r="E1" s="581"/>
      <c r="F1" s="581"/>
      <c r="G1" s="581"/>
      <c r="H1" s="581"/>
      <c r="I1" s="581"/>
      <c r="J1" s="581"/>
      <c r="K1" s="581"/>
      <c r="L1" s="581"/>
      <c r="M1" s="581"/>
      <c r="N1" s="575"/>
      <c r="O1" s="575"/>
      <c r="P1" s="575"/>
      <c r="Q1" s="575"/>
      <c r="R1"/>
    </row>
    <row r="2" spans="1:24" ht="19.05" customHeight="1">
      <c r="A2" s="339"/>
      <c r="B2" s="339"/>
      <c r="C2" s="581"/>
      <c r="D2" s="581"/>
      <c r="E2" s="581"/>
      <c r="F2" s="581"/>
      <c r="G2" s="581"/>
      <c r="H2" s="581"/>
      <c r="I2" s="581"/>
      <c r="J2" s="581"/>
      <c r="K2" s="581"/>
      <c r="L2" s="581"/>
      <c r="M2" s="581"/>
      <c r="N2" s="575"/>
      <c r="O2" s="575"/>
      <c r="P2" s="575"/>
      <c r="Q2" s="575"/>
    </row>
    <row r="3" spans="1:24" ht="19.05" customHeight="1">
      <c r="A3" s="339"/>
      <c r="B3" s="339"/>
      <c r="C3" s="581"/>
      <c r="D3" s="581"/>
      <c r="E3" s="581"/>
      <c r="F3" s="581"/>
      <c r="G3" s="581"/>
      <c r="H3" s="581"/>
      <c r="I3" s="581"/>
      <c r="J3" s="581"/>
      <c r="K3" s="581"/>
      <c r="L3" s="581"/>
      <c r="M3" s="581"/>
      <c r="N3" s="575"/>
      <c r="O3" s="575"/>
      <c r="P3" s="575"/>
      <c r="Q3" s="575"/>
      <c r="T3" s="94"/>
    </row>
    <row r="4" spans="1:24" ht="15" customHeight="1">
      <c r="A4" s="109"/>
      <c r="C4" s="178"/>
      <c r="T4" s="94"/>
    </row>
    <row r="5" spans="1:24" ht="15" customHeight="1">
      <c r="A5" s="576"/>
      <c r="B5" s="576"/>
      <c r="C5" s="575"/>
      <c r="D5" s="575"/>
      <c r="E5" s="575"/>
      <c r="F5" s="575"/>
      <c r="G5" s="575"/>
      <c r="H5" s="575"/>
      <c r="I5" s="92"/>
      <c r="J5" s="92"/>
      <c r="K5" s="179"/>
      <c r="M5" s="92"/>
      <c r="N5" s="235"/>
      <c r="T5" s="94"/>
      <c r="U5" s="91" t="s">
        <v>157</v>
      </c>
      <c r="V5" s="91" t="s">
        <v>158</v>
      </c>
      <c r="W5" s="91" t="s">
        <v>159</v>
      </c>
      <c r="X5" s="91" t="s">
        <v>160</v>
      </c>
    </row>
    <row r="6" spans="1:24" ht="15" customHeight="1">
      <c r="A6" s="577"/>
      <c r="B6" s="577"/>
      <c r="C6" s="338"/>
      <c r="D6" s="338"/>
      <c r="E6" s="338"/>
      <c r="F6" s="338"/>
      <c r="G6" s="338"/>
      <c r="H6" s="338"/>
      <c r="I6" s="92"/>
      <c r="J6" s="92"/>
      <c r="K6" s="94"/>
      <c r="M6" s="92"/>
      <c r="T6" s="94"/>
    </row>
    <row r="7" spans="1:24" ht="15" customHeight="1">
      <c r="A7" s="577"/>
      <c r="B7" s="577"/>
      <c r="C7" s="338"/>
      <c r="D7" s="338"/>
      <c r="E7" s="338"/>
      <c r="F7" s="338"/>
      <c r="G7" s="338"/>
      <c r="H7" s="338"/>
      <c r="I7" s="180"/>
      <c r="J7" s="180"/>
      <c r="K7" s="181"/>
      <c r="M7" s="92"/>
      <c r="N7" s="181"/>
      <c r="T7" s="94"/>
    </row>
    <row r="8" spans="1:24" ht="20.399999999999999" customHeight="1">
      <c r="A8" s="577"/>
      <c r="B8" s="577"/>
      <c r="C8" s="575"/>
      <c r="D8" s="575"/>
      <c r="E8" s="575"/>
      <c r="F8" s="575"/>
      <c r="G8" s="575"/>
      <c r="H8" s="575"/>
      <c r="I8" s="575"/>
      <c r="J8" s="575"/>
      <c r="K8" s="575"/>
      <c r="L8" s="575"/>
      <c r="M8" s="92"/>
      <c r="N8" s="181"/>
      <c r="T8" s="94"/>
    </row>
    <row r="9" spans="1:24" ht="15" customHeight="1">
      <c r="A9" s="94"/>
      <c r="B9" s="94"/>
      <c r="C9" s="269"/>
      <c r="D9" s="269"/>
      <c r="E9" s="109"/>
      <c r="F9" s="269"/>
      <c r="G9" s="269"/>
      <c r="H9" s="269"/>
      <c r="I9" s="269"/>
      <c r="J9" s="269"/>
      <c r="K9" s="269"/>
      <c r="L9" s="269"/>
      <c r="T9" s="94"/>
    </row>
    <row r="10" spans="1:24" ht="19.05" customHeight="1">
      <c r="A10" s="402"/>
      <c r="B10" s="402"/>
      <c r="C10" s="578"/>
      <c r="D10" s="578"/>
      <c r="E10" s="578"/>
      <c r="F10" s="578"/>
      <c r="G10" s="578"/>
      <c r="H10" s="578"/>
      <c r="I10" s="578"/>
      <c r="J10" s="578"/>
      <c r="K10" s="578"/>
      <c r="L10" s="578"/>
      <c r="M10" s="578"/>
      <c r="N10" s="578"/>
      <c r="O10" s="578"/>
      <c r="P10" s="578"/>
      <c r="Q10" s="578"/>
      <c r="R10" s="109"/>
      <c r="T10" s="109"/>
    </row>
    <row r="11" spans="1:24" ht="19.05" customHeight="1">
      <c r="A11" s="338"/>
      <c r="B11" s="338"/>
      <c r="C11" s="402"/>
      <c r="D11" s="402"/>
      <c r="E11" s="402"/>
      <c r="F11" s="402"/>
      <c r="G11" s="402"/>
      <c r="H11" s="402"/>
      <c r="I11" s="402"/>
      <c r="J11" s="402"/>
      <c r="K11" s="402"/>
      <c r="L11" s="402"/>
      <c r="M11" s="402"/>
      <c r="N11" s="402"/>
      <c r="O11" s="402"/>
      <c r="P11" s="402"/>
      <c r="Q11" s="402"/>
      <c r="T11" s="94"/>
    </row>
    <row r="12" spans="1:24" ht="19.05" customHeight="1">
      <c r="A12" s="338"/>
      <c r="B12" s="338"/>
      <c r="C12" s="402"/>
      <c r="D12" s="402"/>
      <c r="E12" s="402"/>
      <c r="F12" s="402"/>
      <c r="G12" s="402"/>
      <c r="H12" s="402"/>
      <c r="I12" s="402"/>
      <c r="J12" s="402"/>
      <c r="K12" s="402"/>
      <c r="L12" s="402"/>
      <c r="M12" s="402"/>
      <c r="N12" s="402"/>
      <c r="O12" s="402"/>
      <c r="P12" s="402"/>
      <c r="Q12" s="402"/>
      <c r="T12" s="109"/>
    </row>
    <row r="13" spans="1:24" ht="19.05" customHeight="1">
      <c r="A13" s="338"/>
      <c r="B13" s="338"/>
      <c r="C13" s="578"/>
      <c r="D13" s="578"/>
      <c r="E13" s="578"/>
      <c r="F13" s="578"/>
      <c r="G13" s="578"/>
      <c r="H13" s="578"/>
      <c r="I13" s="578"/>
      <c r="J13" s="578"/>
      <c r="K13" s="402"/>
      <c r="L13" s="402"/>
      <c r="M13" s="402"/>
      <c r="N13" s="402"/>
      <c r="O13" s="402"/>
      <c r="P13" s="402"/>
      <c r="Q13" s="402"/>
      <c r="T13" s="94"/>
    </row>
    <row r="14" spans="1:24">
      <c r="T14" s="94"/>
    </row>
    <row r="15" spans="1:24" ht="24" customHeight="1">
      <c r="A15" s="576"/>
      <c r="B15" s="575"/>
      <c r="C15" s="575"/>
      <c r="D15" s="575"/>
      <c r="E15" s="575"/>
      <c r="F15" s="575"/>
      <c r="G15" s="575"/>
      <c r="H15" s="575"/>
      <c r="J15" s="578"/>
      <c r="K15" s="578"/>
      <c r="L15" s="578"/>
      <c r="M15" s="578"/>
      <c r="N15" s="578"/>
      <c r="O15" s="578"/>
      <c r="P15" s="578"/>
      <c r="Q15" s="578"/>
      <c r="T15" s="94"/>
    </row>
    <row r="16" spans="1:24" ht="18" customHeight="1">
      <c r="A16" s="92"/>
      <c r="B16" s="92"/>
      <c r="C16" s="579"/>
      <c r="D16" s="580"/>
      <c r="E16" s="580"/>
      <c r="F16" s="580"/>
      <c r="G16" s="580"/>
      <c r="H16" s="580"/>
      <c r="J16" s="581"/>
      <c r="K16" s="578"/>
      <c r="L16" s="578"/>
      <c r="M16" s="578"/>
      <c r="N16" s="578"/>
      <c r="O16" s="578"/>
      <c r="P16" s="578"/>
      <c r="Q16" s="578"/>
      <c r="T16" s="93"/>
    </row>
    <row r="17" spans="1:20" ht="18" customHeight="1">
      <c r="A17" s="92"/>
      <c r="B17" s="92"/>
      <c r="C17" s="402"/>
      <c r="D17" s="402"/>
      <c r="E17" s="402"/>
      <c r="F17" s="402"/>
      <c r="G17" s="402"/>
      <c r="H17" s="402"/>
      <c r="J17" s="402"/>
      <c r="K17" s="402"/>
      <c r="L17" s="402"/>
      <c r="M17" s="402"/>
      <c r="N17" s="402"/>
      <c r="O17" s="402"/>
      <c r="P17" s="402"/>
      <c r="Q17" s="402"/>
      <c r="T17" s="94"/>
    </row>
    <row r="18" spans="1:20" ht="18" customHeight="1">
      <c r="A18" s="92"/>
      <c r="B18" s="92"/>
      <c r="C18" s="583"/>
      <c r="D18" s="338"/>
      <c r="E18" s="338"/>
      <c r="F18" s="575"/>
      <c r="G18" s="575"/>
      <c r="H18" s="575"/>
      <c r="J18" s="402"/>
      <c r="K18" s="402"/>
      <c r="L18" s="402"/>
      <c r="M18" s="402"/>
      <c r="N18" s="402"/>
      <c r="O18" s="402"/>
      <c r="P18" s="402"/>
      <c r="Q18" s="402"/>
      <c r="T18" s="109"/>
    </row>
    <row r="19" spans="1:20" ht="18" customHeight="1">
      <c r="A19" s="242"/>
      <c r="B19" s="262"/>
      <c r="C19" s="578"/>
      <c r="D19" s="584"/>
      <c r="E19" s="262"/>
      <c r="F19" s="270"/>
      <c r="G19" s="270"/>
      <c r="H19" s="270"/>
      <c r="T19" s="96"/>
    </row>
    <row r="20" spans="1:20" ht="18" customHeight="1">
      <c r="A20" s="107"/>
      <c r="C20" s="338"/>
      <c r="D20" s="338"/>
      <c r="E20" s="263"/>
      <c r="F20" s="107"/>
      <c r="G20" s="265"/>
      <c r="H20" s="265"/>
      <c r="J20" s="578"/>
      <c r="K20" s="578"/>
      <c r="L20" s="578"/>
      <c r="M20" s="578"/>
      <c r="N20" s="578"/>
      <c r="O20" s="578"/>
      <c r="P20" s="578"/>
      <c r="Q20" s="578"/>
      <c r="T20" s="94"/>
    </row>
    <row r="21" spans="1:20" ht="18" customHeight="1">
      <c r="A21" s="107"/>
      <c r="B21" s="111"/>
      <c r="C21" s="338"/>
      <c r="D21" s="338"/>
      <c r="E21" s="263"/>
      <c r="F21" s="107"/>
      <c r="G21" s="265"/>
      <c r="H21" s="107"/>
      <c r="J21" s="581"/>
      <c r="K21" s="578"/>
      <c r="L21" s="578"/>
      <c r="M21" s="578"/>
      <c r="N21" s="578"/>
      <c r="O21" s="578"/>
      <c r="P21" s="578"/>
      <c r="Q21" s="578"/>
      <c r="T21" s="94"/>
    </row>
    <row r="22" spans="1:20" ht="18" customHeight="1">
      <c r="A22" s="107"/>
      <c r="B22" s="111"/>
      <c r="C22" s="338"/>
      <c r="D22" s="338"/>
      <c r="E22" s="263"/>
      <c r="F22" s="107"/>
      <c r="G22" s="265"/>
      <c r="H22" s="107"/>
      <c r="J22" s="402"/>
      <c r="K22" s="402"/>
      <c r="L22" s="402"/>
      <c r="M22" s="402"/>
      <c r="N22" s="402"/>
      <c r="O22" s="402"/>
      <c r="P22" s="402"/>
      <c r="Q22" s="402"/>
      <c r="T22" s="94"/>
    </row>
    <row r="23" spans="1:20" ht="18" customHeight="1">
      <c r="A23" s="107"/>
      <c r="B23" s="111"/>
      <c r="C23" s="338"/>
      <c r="D23" s="338"/>
      <c r="E23" s="271"/>
      <c r="F23" s="233"/>
      <c r="G23" s="265"/>
      <c r="J23" s="402"/>
      <c r="K23" s="402"/>
      <c r="L23" s="402"/>
      <c r="M23" s="402"/>
      <c r="N23" s="402"/>
      <c r="O23" s="402"/>
      <c r="P23" s="402"/>
      <c r="Q23" s="402"/>
      <c r="T23" s="94"/>
    </row>
    <row r="24" spans="1:20" ht="18" customHeight="1">
      <c r="B24" s="111"/>
      <c r="C24" s="94"/>
      <c r="D24" s="339"/>
      <c r="E24" s="339"/>
      <c r="F24" s="197"/>
      <c r="G24" s="402"/>
      <c r="H24" s="402"/>
      <c r="J24" s="107"/>
      <c r="K24" s="107"/>
      <c r="L24" s="107"/>
      <c r="M24" s="107"/>
      <c r="N24" s="107"/>
      <c r="O24" s="107"/>
      <c r="P24" s="107"/>
      <c r="Q24" s="107"/>
      <c r="T24" s="109"/>
    </row>
    <row r="25" spans="1:20" ht="18" customHeight="1">
      <c r="A25" s="578"/>
      <c r="B25" s="578"/>
      <c r="C25" s="578"/>
      <c r="D25" s="581"/>
      <c r="E25" s="582"/>
      <c r="F25" s="582"/>
      <c r="G25" s="578"/>
      <c r="H25" s="578"/>
      <c r="J25" s="578"/>
      <c r="K25" s="578"/>
      <c r="L25" s="578"/>
      <c r="M25" s="581"/>
      <c r="N25" s="582"/>
      <c r="O25" s="582"/>
      <c r="P25" s="578"/>
      <c r="Q25" s="578"/>
      <c r="R25" s="201"/>
      <c r="T25" s="94"/>
    </row>
    <row r="26" spans="1:20" ht="18" customHeight="1">
      <c r="A26" s="578"/>
      <c r="B26" s="578"/>
      <c r="C26" s="578"/>
      <c r="D26" s="581"/>
      <c r="E26" s="262"/>
      <c r="F26" s="262"/>
      <c r="G26" s="578"/>
      <c r="H26" s="578"/>
      <c r="J26" s="578"/>
      <c r="K26" s="578"/>
      <c r="L26" s="578"/>
      <c r="M26" s="581"/>
      <c r="N26" s="262"/>
      <c r="O26" s="262"/>
      <c r="P26" s="578"/>
      <c r="Q26" s="578"/>
      <c r="R26" s="201"/>
      <c r="T26" s="94"/>
    </row>
    <row r="27" spans="1:20" ht="19.95" customHeight="1">
      <c r="A27" s="107"/>
      <c r="B27" s="338"/>
      <c r="C27" s="338"/>
      <c r="D27" s="272"/>
      <c r="E27" s="111"/>
      <c r="F27" s="233"/>
      <c r="G27" s="107"/>
      <c r="H27" s="107"/>
      <c r="J27" s="107"/>
      <c r="K27" s="338"/>
      <c r="L27" s="338"/>
      <c r="M27" s="110"/>
      <c r="N27" s="111"/>
      <c r="O27" s="233"/>
      <c r="P27" s="107"/>
      <c r="R27" s="202"/>
      <c r="T27" s="94"/>
    </row>
    <row r="28" spans="1:20" ht="19.95" customHeight="1">
      <c r="A28" s="107"/>
      <c r="B28" s="338"/>
      <c r="C28" s="338"/>
      <c r="D28" s="273"/>
      <c r="E28" s="111"/>
      <c r="F28" s="233"/>
      <c r="G28" s="107"/>
      <c r="H28" s="107"/>
      <c r="J28" s="107"/>
      <c r="K28" s="338"/>
      <c r="L28" s="338"/>
      <c r="M28" s="272"/>
      <c r="N28" s="111"/>
      <c r="O28" s="233"/>
      <c r="P28" s="107"/>
      <c r="R28" s="202"/>
      <c r="T28" s="94"/>
    </row>
    <row r="29" spans="1:20" ht="19.95" customHeight="1">
      <c r="A29" s="107"/>
      <c r="B29" s="338"/>
      <c r="C29" s="338"/>
      <c r="D29" s="110"/>
      <c r="E29" s="111"/>
      <c r="F29" s="274"/>
      <c r="G29" s="107"/>
      <c r="H29" s="107"/>
      <c r="J29" s="107"/>
      <c r="K29" s="338"/>
      <c r="L29" s="338"/>
      <c r="M29" s="272"/>
      <c r="N29" s="111"/>
      <c r="O29" s="233"/>
      <c r="P29" s="107"/>
      <c r="R29" s="202"/>
      <c r="T29" s="94"/>
    </row>
    <row r="30" spans="1:20" ht="19.95" customHeight="1">
      <c r="A30" s="107"/>
      <c r="B30" s="338"/>
      <c r="C30" s="338"/>
      <c r="D30" s="110"/>
      <c r="E30" s="111"/>
      <c r="F30" s="233"/>
      <c r="G30" s="107"/>
      <c r="H30" s="107"/>
      <c r="J30" s="107"/>
      <c r="K30" s="338"/>
      <c r="L30" s="338"/>
      <c r="M30" s="110"/>
      <c r="N30" s="111"/>
      <c r="O30" s="274"/>
      <c r="P30" s="107"/>
      <c r="R30" s="202"/>
      <c r="T30" s="94"/>
    </row>
    <row r="31" spans="1:20" ht="19.95" customHeight="1">
      <c r="A31" s="107"/>
      <c r="B31" s="338"/>
      <c r="C31" s="338"/>
      <c r="D31" s="110"/>
      <c r="E31" s="111"/>
      <c r="F31" s="233"/>
      <c r="G31" s="107"/>
      <c r="H31" s="107"/>
      <c r="J31" s="107"/>
      <c r="K31" s="338"/>
      <c r="L31" s="338"/>
      <c r="M31" s="93"/>
      <c r="N31" s="111"/>
      <c r="O31" s="233"/>
      <c r="P31" s="107"/>
      <c r="Q31" s="92"/>
      <c r="R31" s="201"/>
      <c r="T31" s="94"/>
    </row>
    <row r="32" spans="1:20" ht="19.95" customHeight="1">
      <c r="A32" s="107"/>
      <c r="B32" s="338"/>
      <c r="C32" s="338"/>
      <c r="D32" s="110"/>
      <c r="E32" s="111"/>
      <c r="F32" s="233"/>
      <c r="G32" s="107"/>
      <c r="H32" s="107"/>
      <c r="J32" s="402"/>
      <c r="K32" s="338"/>
      <c r="L32" s="338"/>
      <c r="M32" s="634"/>
      <c r="N32" s="633"/>
      <c r="O32" s="633"/>
      <c r="P32" s="633"/>
      <c r="Q32" s="578"/>
      <c r="R32" s="202"/>
      <c r="T32" s="94"/>
    </row>
    <row r="33" spans="1:20" ht="19.95" customHeight="1">
      <c r="A33" s="107"/>
      <c r="B33" s="338"/>
      <c r="C33" s="338"/>
      <c r="D33" s="110"/>
      <c r="E33" s="111"/>
      <c r="F33" s="233"/>
      <c r="G33" s="107"/>
      <c r="H33" s="107"/>
      <c r="J33" s="402"/>
      <c r="K33" s="338"/>
      <c r="L33" s="338"/>
      <c r="M33" s="635"/>
      <c r="N33" s="633"/>
      <c r="O33" s="633"/>
      <c r="P33" s="633"/>
      <c r="Q33" s="578"/>
      <c r="R33" s="202"/>
      <c r="T33" s="94"/>
    </row>
    <row r="34" spans="1:20" ht="19.95" customHeight="1">
      <c r="A34" s="107"/>
      <c r="B34" s="338"/>
      <c r="C34" s="338"/>
      <c r="D34" s="110"/>
      <c r="E34" s="111"/>
      <c r="F34" s="233"/>
      <c r="G34" s="107"/>
      <c r="H34" s="107"/>
      <c r="J34" s="402"/>
      <c r="K34" s="338"/>
      <c r="L34" s="338"/>
      <c r="M34" s="635"/>
      <c r="N34" s="633"/>
      <c r="O34" s="633"/>
      <c r="P34" s="633"/>
      <c r="Q34" s="578"/>
      <c r="R34" s="202"/>
      <c r="T34" s="94"/>
    </row>
    <row r="35" spans="1:20" ht="19.95" customHeight="1">
      <c r="A35" s="107"/>
      <c r="B35" s="338"/>
      <c r="C35" s="338"/>
      <c r="D35" s="110"/>
      <c r="E35" s="111"/>
      <c r="F35" s="233"/>
      <c r="G35" s="107"/>
      <c r="H35" s="107"/>
      <c r="R35" s="202"/>
      <c r="T35" s="94"/>
    </row>
    <row r="36" spans="1:20" ht="19.95" customHeight="1">
      <c r="A36" s="107"/>
      <c r="B36" s="338"/>
      <c r="C36" s="338"/>
      <c r="D36" s="110"/>
      <c r="E36" s="111"/>
      <c r="F36" s="233"/>
      <c r="G36" s="107"/>
      <c r="H36" s="107"/>
      <c r="J36" s="92"/>
      <c r="K36" s="578"/>
      <c r="L36" s="578"/>
      <c r="M36" s="578"/>
      <c r="N36" s="578"/>
      <c r="O36" s="578"/>
      <c r="P36" s="578"/>
      <c r="Q36" s="578"/>
      <c r="R36" s="202"/>
      <c r="T36" s="94"/>
    </row>
    <row r="37" spans="1:20" ht="19.95" customHeight="1">
      <c r="A37" s="107"/>
      <c r="B37" s="338"/>
      <c r="C37" s="338"/>
      <c r="D37" s="110"/>
      <c r="E37" s="111"/>
      <c r="F37" s="233"/>
      <c r="G37" s="107"/>
      <c r="H37" s="107"/>
      <c r="J37" s="107"/>
      <c r="K37" s="578"/>
      <c r="L37" s="578"/>
      <c r="M37" s="578"/>
      <c r="N37" s="578"/>
      <c r="O37" s="578"/>
      <c r="P37" s="578"/>
      <c r="Q37" s="578"/>
      <c r="R37" s="202"/>
      <c r="T37" s="94"/>
    </row>
    <row r="38" spans="1:20" ht="19.95" customHeight="1">
      <c r="A38" s="107"/>
      <c r="B38" s="338"/>
      <c r="C38" s="338"/>
      <c r="D38" s="110"/>
      <c r="E38" s="111"/>
      <c r="F38" s="233"/>
      <c r="G38" s="107"/>
      <c r="H38" s="107"/>
      <c r="J38" s="107"/>
      <c r="K38" s="578"/>
      <c r="L38" s="578"/>
      <c r="M38" s="578"/>
      <c r="N38" s="578"/>
      <c r="O38" s="578"/>
      <c r="P38" s="578"/>
      <c r="Q38" s="578"/>
      <c r="R38" s="202"/>
      <c r="T38" s="94"/>
    </row>
    <row r="39" spans="1:20" ht="19.95" customHeight="1">
      <c r="A39" s="107"/>
      <c r="B39" s="338"/>
      <c r="C39" s="338"/>
      <c r="D39" s="110"/>
      <c r="E39" s="111"/>
      <c r="F39" s="233"/>
      <c r="G39" s="107"/>
      <c r="H39" s="107"/>
      <c r="J39" s="107"/>
      <c r="K39" s="578"/>
      <c r="L39" s="578"/>
      <c r="M39" s="578"/>
      <c r="N39" s="578"/>
      <c r="O39" s="578"/>
      <c r="P39" s="578"/>
      <c r="Q39" s="578"/>
      <c r="R39" s="202"/>
      <c r="T39" s="94"/>
    </row>
    <row r="40" spans="1:20" ht="19.95" customHeight="1">
      <c r="A40" s="107"/>
      <c r="B40" s="338"/>
      <c r="C40" s="338"/>
      <c r="D40" s="110"/>
      <c r="E40" s="111"/>
      <c r="F40" s="271"/>
      <c r="G40" s="107"/>
      <c r="H40" s="107"/>
      <c r="J40" s="107"/>
      <c r="K40" s="578"/>
      <c r="L40" s="578"/>
      <c r="M40" s="578"/>
      <c r="N40" s="578"/>
      <c r="O40" s="578"/>
      <c r="P40" s="578"/>
      <c r="Q40" s="578"/>
      <c r="R40" s="202"/>
      <c r="T40" s="94"/>
    </row>
    <row r="41" spans="1:20" ht="19.95" customHeight="1">
      <c r="A41" s="107"/>
      <c r="B41" s="338"/>
      <c r="C41" s="338"/>
      <c r="D41" s="110"/>
      <c r="E41" s="111"/>
      <c r="F41" s="271"/>
      <c r="G41" s="107"/>
      <c r="H41" s="107"/>
      <c r="J41" s="107"/>
      <c r="K41" s="578"/>
      <c r="L41" s="578"/>
      <c r="M41" s="578"/>
      <c r="N41" s="578"/>
      <c r="O41" s="578"/>
      <c r="P41" s="578"/>
      <c r="Q41" s="578"/>
      <c r="R41" s="202"/>
      <c r="T41" s="94"/>
    </row>
    <row r="42" spans="1:20" ht="19.95" customHeight="1">
      <c r="A42" s="107"/>
      <c r="B42" s="338"/>
      <c r="C42" s="338"/>
      <c r="D42" s="110"/>
      <c r="E42" s="111"/>
      <c r="F42" s="271"/>
      <c r="G42" s="107"/>
      <c r="H42" s="107"/>
      <c r="J42" s="242"/>
      <c r="K42" s="242"/>
      <c r="L42" s="242"/>
      <c r="M42" s="242"/>
      <c r="N42" s="242"/>
      <c r="O42" s="242"/>
      <c r="P42" s="242"/>
      <c r="Q42" s="242"/>
      <c r="R42" s="202"/>
      <c r="T42" s="94"/>
    </row>
    <row r="43" spans="1:20" ht="19.95" customHeight="1">
      <c r="A43" s="107"/>
      <c r="B43" s="338"/>
      <c r="C43" s="338"/>
      <c r="D43" s="110"/>
      <c r="E43" s="111"/>
      <c r="F43" s="271"/>
      <c r="G43" s="107"/>
      <c r="H43" s="107"/>
      <c r="J43" s="578"/>
      <c r="K43" s="578"/>
      <c r="L43" s="578"/>
      <c r="M43" s="581"/>
      <c r="N43" s="578"/>
      <c r="O43" s="578"/>
      <c r="P43" s="578"/>
      <c r="Q43" s="578"/>
      <c r="R43" s="202"/>
      <c r="T43" s="94"/>
    </row>
    <row r="44" spans="1:20" ht="19.95" customHeight="1">
      <c r="A44" s="107"/>
      <c r="B44" s="338"/>
      <c r="C44" s="338"/>
      <c r="D44" s="110"/>
      <c r="E44" s="111"/>
      <c r="F44" s="271"/>
      <c r="G44" s="107"/>
      <c r="H44" s="107"/>
      <c r="J44" s="578"/>
      <c r="K44" s="578"/>
      <c r="L44" s="578"/>
      <c r="M44" s="578"/>
      <c r="N44" s="578"/>
      <c r="O44" s="578"/>
      <c r="P44" s="578"/>
      <c r="Q44" s="578"/>
      <c r="R44" s="202"/>
      <c r="T44" s="94"/>
    </row>
    <row r="45" spans="1:20" ht="19.95" customHeight="1">
      <c r="A45" s="107"/>
      <c r="B45" s="338"/>
      <c r="C45" s="338"/>
      <c r="D45" s="272"/>
      <c r="E45" s="111"/>
      <c r="F45" s="233"/>
      <c r="G45" s="107"/>
      <c r="H45" s="107"/>
      <c r="J45" s="578"/>
      <c r="K45" s="578"/>
      <c r="L45" s="578"/>
      <c r="M45" s="578"/>
      <c r="N45" s="578"/>
      <c r="O45" s="578"/>
      <c r="P45" s="578"/>
      <c r="Q45" s="578"/>
      <c r="R45" s="202"/>
      <c r="T45" s="94"/>
    </row>
    <row r="46" spans="1:20" ht="19.95" customHeight="1">
      <c r="A46" s="107"/>
      <c r="B46" s="338"/>
      <c r="C46" s="338"/>
      <c r="D46" s="275"/>
      <c r="E46" s="111"/>
      <c r="F46" s="233"/>
      <c r="G46" s="107"/>
      <c r="H46" s="107"/>
      <c r="J46" s="578"/>
      <c r="K46" s="578"/>
      <c r="L46" s="578"/>
      <c r="M46" s="578"/>
      <c r="N46" s="578"/>
      <c r="O46" s="578"/>
      <c r="P46" s="578"/>
      <c r="Q46" s="578"/>
      <c r="R46" s="202"/>
      <c r="T46" s="94"/>
    </row>
    <row r="47" spans="1:20" ht="19.95" customHeight="1">
      <c r="A47" s="107"/>
      <c r="B47" s="338"/>
      <c r="C47" s="338"/>
      <c r="D47" s="272"/>
      <c r="E47" s="111"/>
      <c r="F47" s="233"/>
      <c r="G47" s="107"/>
      <c r="H47" s="107"/>
      <c r="J47" s="578"/>
      <c r="K47" s="578"/>
      <c r="L47" s="578"/>
      <c r="M47" s="578"/>
      <c r="N47" s="578"/>
      <c r="O47" s="578"/>
      <c r="P47" s="578"/>
      <c r="Q47" s="578"/>
      <c r="R47" s="202"/>
      <c r="T47" s="94"/>
    </row>
    <row r="48" spans="1:20" ht="54" customHeight="1">
      <c r="A48" s="107"/>
      <c r="B48" s="338"/>
      <c r="C48" s="338"/>
      <c r="D48" s="110"/>
      <c r="E48" s="111"/>
      <c r="F48" s="233"/>
      <c r="G48" s="107"/>
      <c r="H48" s="107"/>
      <c r="J48" s="578"/>
      <c r="K48" s="578"/>
      <c r="L48" s="578"/>
      <c r="M48" s="578"/>
      <c r="N48" s="578"/>
      <c r="O48" s="578"/>
      <c r="P48" s="578"/>
      <c r="Q48" s="578"/>
      <c r="R48" s="202"/>
      <c r="T48" s="94"/>
    </row>
    <row r="49" spans="1:20" ht="19.95" customHeight="1">
      <c r="A49" s="595" t="s">
        <v>161</v>
      </c>
      <c r="B49" s="596"/>
      <c r="C49" s="596"/>
      <c r="D49" s="596"/>
      <c r="E49" s="597"/>
      <c r="F49" s="601" t="s">
        <v>162</v>
      </c>
      <c r="G49" s="602"/>
      <c r="H49" s="602"/>
      <c r="I49" s="602"/>
      <c r="J49" s="602"/>
      <c r="K49" s="602"/>
      <c r="L49" s="602"/>
      <c r="M49" s="605" t="s">
        <v>163</v>
      </c>
      <c r="N49" s="596"/>
      <c r="O49" s="596"/>
      <c r="P49" s="596"/>
      <c r="Q49" s="606"/>
      <c r="R49" s="202"/>
      <c r="T49" s="94"/>
    </row>
    <row r="50" spans="1:20" ht="19.95" customHeight="1">
      <c r="A50" s="598"/>
      <c r="B50" s="599"/>
      <c r="C50" s="599"/>
      <c r="D50" s="599"/>
      <c r="E50" s="600"/>
      <c r="F50" s="603"/>
      <c r="G50" s="604"/>
      <c r="H50" s="604"/>
      <c r="I50" s="604"/>
      <c r="J50" s="604"/>
      <c r="K50" s="604"/>
      <c r="L50" s="604"/>
      <c r="M50" s="607"/>
      <c r="N50" s="599"/>
      <c r="O50" s="599"/>
      <c r="P50" s="599"/>
      <c r="Q50" s="608"/>
      <c r="R50" s="202"/>
      <c r="T50" s="94"/>
    </row>
    <row r="51" spans="1:20" ht="25.05" customHeight="1">
      <c r="A51" s="627" t="s">
        <v>164</v>
      </c>
      <c r="B51" s="586"/>
      <c r="C51" s="586"/>
      <c r="D51" s="586"/>
      <c r="E51" s="628"/>
      <c r="F51" s="629" t="s">
        <v>164</v>
      </c>
      <c r="G51" s="630"/>
      <c r="H51" s="630"/>
      <c r="I51" s="630"/>
      <c r="J51" s="630"/>
      <c r="K51" s="630"/>
      <c r="L51" s="631"/>
      <c r="M51" s="585" t="s">
        <v>164</v>
      </c>
      <c r="N51" s="586"/>
      <c r="O51" s="586"/>
      <c r="P51" s="586"/>
      <c r="Q51" s="587"/>
      <c r="R51" s="202"/>
      <c r="T51" s="94"/>
    </row>
    <row r="52" spans="1:20" ht="18" customHeight="1">
      <c r="A52" s="609"/>
      <c r="B52" s="610"/>
      <c r="C52" s="610"/>
      <c r="D52" s="610"/>
      <c r="E52" s="611"/>
      <c r="F52" s="614"/>
      <c r="G52" s="610"/>
      <c r="H52" s="610"/>
      <c r="I52" s="610"/>
      <c r="J52" s="610"/>
      <c r="K52" s="610"/>
      <c r="L52" s="611"/>
      <c r="M52" s="616"/>
      <c r="N52" s="617"/>
      <c r="O52" s="617"/>
      <c r="P52" s="617"/>
      <c r="Q52" s="618"/>
      <c r="T52" s="94"/>
    </row>
    <row r="53" spans="1:20" ht="18" customHeight="1">
      <c r="A53" s="612"/>
      <c r="B53" s="578"/>
      <c r="C53" s="578"/>
      <c r="D53" s="578"/>
      <c r="E53" s="613"/>
      <c r="F53" s="615"/>
      <c r="G53" s="578"/>
      <c r="H53" s="578"/>
      <c r="I53" s="578"/>
      <c r="J53" s="578"/>
      <c r="K53" s="578"/>
      <c r="L53" s="613"/>
      <c r="M53" s="619"/>
      <c r="N53" s="581"/>
      <c r="O53" s="581"/>
      <c r="P53" s="581"/>
      <c r="Q53" s="620"/>
      <c r="T53" s="94"/>
    </row>
    <row r="54" spans="1:20" ht="18" customHeight="1">
      <c r="A54" s="612"/>
      <c r="B54" s="578"/>
      <c r="C54" s="578"/>
      <c r="D54" s="578"/>
      <c r="E54" s="613"/>
      <c r="F54" s="615"/>
      <c r="G54" s="578"/>
      <c r="H54" s="578"/>
      <c r="I54" s="578"/>
      <c r="J54" s="578"/>
      <c r="K54" s="578"/>
      <c r="L54" s="613"/>
      <c r="M54" s="619"/>
      <c r="N54" s="581"/>
      <c r="O54" s="581"/>
      <c r="P54" s="581"/>
      <c r="Q54" s="620"/>
      <c r="T54" s="94"/>
    </row>
    <row r="55" spans="1:20" ht="18" customHeight="1">
      <c r="A55" s="598"/>
      <c r="B55" s="599"/>
      <c r="C55" s="599"/>
      <c r="D55" s="599"/>
      <c r="E55" s="600"/>
      <c r="F55" s="607"/>
      <c r="G55" s="599"/>
      <c r="H55" s="599"/>
      <c r="I55" s="599"/>
      <c r="J55" s="599"/>
      <c r="K55" s="599"/>
      <c r="L55" s="600"/>
      <c r="M55" s="621"/>
      <c r="N55" s="622"/>
      <c r="O55" s="622"/>
      <c r="P55" s="622"/>
      <c r="Q55" s="623"/>
      <c r="T55" s="94"/>
    </row>
    <row r="56" spans="1:20" ht="27" customHeight="1">
      <c r="A56" s="588" t="s">
        <v>385</v>
      </c>
      <c r="B56" s="589"/>
      <c r="C56" s="589"/>
      <c r="D56" s="589"/>
      <c r="E56" s="590"/>
      <c r="F56" s="417" t="s">
        <v>386</v>
      </c>
      <c r="G56" s="591"/>
      <c r="H56" s="591"/>
      <c r="I56" s="591"/>
      <c r="J56" s="591"/>
      <c r="K56" s="591"/>
      <c r="L56" s="422"/>
      <c r="M56" s="592" t="s">
        <v>386</v>
      </c>
      <c r="N56" s="593"/>
      <c r="O56" s="593"/>
      <c r="P56" s="593"/>
      <c r="Q56" s="594"/>
      <c r="T56" s="94"/>
    </row>
    <row r="57" spans="1:20">
      <c r="T57" s="94"/>
    </row>
    <row r="58" spans="1:20">
      <c r="T58" s="94"/>
    </row>
    <row r="59" spans="1:20">
      <c r="D59" s="402"/>
      <c r="E59" s="402"/>
      <c r="F59" s="402"/>
      <c r="G59" s="402"/>
      <c r="T59" s="94"/>
    </row>
    <row r="60" spans="1:20">
      <c r="B60" s="338"/>
      <c r="C60" s="338"/>
      <c r="D60" s="624"/>
      <c r="E60" s="624"/>
      <c r="F60" s="624"/>
      <c r="G60" s="624"/>
      <c r="T60" s="94"/>
    </row>
    <row r="61" spans="1:20">
      <c r="B61" s="338"/>
      <c r="C61" s="338"/>
      <c r="D61" s="624"/>
      <c r="E61" s="624"/>
      <c r="F61" s="625"/>
      <c r="G61" s="625"/>
      <c r="T61" s="94"/>
    </row>
    <row r="62" spans="1:20">
      <c r="B62" s="338"/>
      <c r="C62" s="338"/>
      <c r="D62" s="624"/>
      <c r="E62" s="624"/>
      <c r="F62" s="626"/>
      <c r="G62" s="626"/>
      <c r="T62" s="94"/>
    </row>
    <row r="63" spans="1:20">
      <c r="B63" s="338"/>
      <c r="C63" s="338"/>
      <c r="D63" s="624"/>
      <c r="E63" s="624"/>
      <c r="F63" s="624"/>
      <c r="G63" s="624"/>
      <c r="T63" s="94"/>
    </row>
    <row r="64" spans="1:20">
      <c r="B64" s="338"/>
      <c r="C64" s="338"/>
      <c r="D64" s="624"/>
      <c r="E64" s="624"/>
      <c r="F64" s="624"/>
      <c r="G64" s="624"/>
      <c r="T64" s="94"/>
    </row>
    <row r="65" spans="2:20">
      <c r="B65" s="338"/>
      <c r="C65" s="338"/>
      <c r="D65" s="624"/>
      <c r="E65" s="624"/>
      <c r="F65" s="626"/>
      <c r="G65" s="626"/>
      <c r="T65" s="94"/>
    </row>
    <row r="66" spans="2:20">
      <c r="B66" s="338"/>
      <c r="C66" s="338"/>
      <c r="D66" s="624"/>
      <c r="E66" s="624"/>
      <c r="F66" s="626"/>
      <c r="G66" s="626"/>
      <c r="T66" s="94"/>
    </row>
    <row r="67" spans="2:20">
      <c r="B67" s="338"/>
      <c r="C67" s="338"/>
      <c r="D67" s="624"/>
      <c r="E67" s="624"/>
      <c r="F67" s="626"/>
      <c r="G67" s="626"/>
    </row>
    <row r="68" spans="2:20">
      <c r="B68" s="338"/>
      <c r="C68" s="338"/>
      <c r="D68" s="624"/>
      <c r="E68" s="624"/>
      <c r="F68" s="632"/>
      <c r="G68" s="632"/>
    </row>
  </sheetData>
  <mergeCells count="165">
    <mergeCell ref="N32:N34"/>
    <mergeCell ref="O32:O34"/>
    <mergeCell ref="P25:P26"/>
    <mergeCell ref="P32:P34"/>
    <mergeCell ref="Q25:Q26"/>
    <mergeCell ref="Q32:Q34"/>
    <mergeCell ref="A1:B3"/>
    <mergeCell ref="C1:M3"/>
    <mergeCell ref="J17:M18"/>
    <mergeCell ref="N17:Q18"/>
    <mergeCell ref="J22:M23"/>
    <mergeCell ref="N22:Q23"/>
    <mergeCell ref="B25:C26"/>
    <mergeCell ref="K25:L26"/>
    <mergeCell ref="K32:L34"/>
    <mergeCell ref="A25:A26"/>
    <mergeCell ref="D25:D26"/>
    <mergeCell ref="G25:G26"/>
    <mergeCell ref="H25:H26"/>
    <mergeCell ref="J25:J26"/>
    <mergeCell ref="J32:J34"/>
    <mergeCell ref="M25:M26"/>
    <mergeCell ref="M32:M34"/>
    <mergeCell ref="B29:C29"/>
    <mergeCell ref="B63:C63"/>
    <mergeCell ref="D63:E63"/>
    <mergeCell ref="F63:G63"/>
    <mergeCell ref="B64:C64"/>
    <mergeCell ref="D64:E64"/>
    <mergeCell ref="F64:G64"/>
    <mergeCell ref="B65:C65"/>
    <mergeCell ref="D65:E65"/>
    <mergeCell ref="F65:G65"/>
    <mergeCell ref="B66:C66"/>
    <mergeCell ref="D66:E66"/>
    <mergeCell ref="F66:G66"/>
    <mergeCell ref="B67:C67"/>
    <mergeCell ref="D67:E67"/>
    <mergeCell ref="F67:G67"/>
    <mergeCell ref="B68:C68"/>
    <mergeCell ref="D68:E68"/>
    <mergeCell ref="F68:G68"/>
    <mergeCell ref="D61:E61"/>
    <mergeCell ref="F61:G61"/>
    <mergeCell ref="B62:C62"/>
    <mergeCell ref="D62:E62"/>
    <mergeCell ref="F62:G62"/>
    <mergeCell ref="B47:C47"/>
    <mergeCell ref="B48:C48"/>
    <mergeCell ref="A51:E51"/>
    <mergeCell ref="F51:L51"/>
    <mergeCell ref="B60:C60"/>
    <mergeCell ref="D60:E60"/>
    <mergeCell ref="F60:G60"/>
    <mergeCell ref="B61:C61"/>
    <mergeCell ref="M51:Q51"/>
    <mergeCell ref="A56:E56"/>
    <mergeCell ref="F56:L56"/>
    <mergeCell ref="M56:Q56"/>
    <mergeCell ref="D59:E59"/>
    <mergeCell ref="F59:G59"/>
    <mergeCell ref="M47:M48"/>
    <mergeCell ref="J47:L48"/>
    <mergeCell ref="N47:O48"/>
    <mergeCell ref="P47:Q48"/>
    <mergeCell ref="A49:E50"/>
    <mergeCell ref="F49:L50"/>
    <mergeCell ref="M49:Q50"/>
    <mergeCell ref="A52:E55"/>
    <mergeCell ref="F52:L55"/>
    <mergeCell ref="M52:Q55"/>
    <mergeCell ref="B41:C41"/>
    <mergeCell ref="K41:M41"/>
    <mergeCell ref="N41:O41"/>
    <mergeCell ref="P41:Q41"/>
    <mergeCell ref="B42:C42"/>
    <mergeCell ref="B43:C43"/>
    <mergeCell ref="B44:C44"/>
    <mergeCell ref="B45:C45"/>
    <mergeCell ref="B46:C46"/>
    <mergeCell ref="M45:M46"/>
    <mergeCell ref="N43:O44"/>
    <mergeCell ref="P43:Q44"/>
    <mergeCell ref="J45:L46"/>
    <mergeCell ref="N45:O46"/>
    <mergeCell ref="P45:Q46"/>
    <mergeCell ref="M43:M44"/>
    <mergeCell ref="J43:L44"/>
    <mergeCell ref="B38:C38"/>
    <mergeCell ref="K38:M38"/>
    <mergeCell ref="N38:O38"/>
    <mergeCell ref="P38:Q38"/>
    <mergeCell ref="B39:C39"/>
    <mergeCell ref="K39:M39"/>
    <mergeCell ref="N39:O39"/>
    <mergeCell ref="P39:Q39"/>
    <mergeCell ref="B40:C40"/>
    <mergeCell ref="K40:M40"/>
    <mergeCell ref="N40:O40"/>
    <mergeCell ref="P40:Q40"/>
    <mergeCell ref="B35:C35"/>
    <mergeCell ref="B36:C36"/>
    <mergeCell ref="K36:M36"/>
    <mergeCell ref="N36:O36"/>
    <mergeCell ref="P36:Q36"/>
    <mergeCell ref="B37:C37"/>
    <mergeCell ref="K37:M37"/>
    <mergeCell ref="N37:O37"/>
    <mergeCell ref="P37:Q37"/>
    <mergeCell ref="K29:L29"/>
    <mergeCell ref="B30:C30"/>
    <mergeCell ref="K30:L30"/>
    <mergeCell ref="B31:C31"/>
    <mergeCell ref="K31:L31"/>
    <mergeCell ref="B32:C32"/>
    <mergeCell ref="B33:C33"/>
    <mergeCell ref="B34:C34"/>
    <mergeCell ref="C22:D22"/>
    <mergeCell ref="C23:D23"/>
    <mergeCell ref="D24:E24"/>
    <mergeCell ref="G24:H24"/>
    <mergeCell ref="E25:F25"/>
    <mergeCell ref="N25:O25"/>
    <mergeCell ref="B27:C27"/>
    <mergeCell ref="K27:L27"/>
    <mergeCell ref="B28:C28"/>
    <mergeCell ref="K28:L28"/>
    <mergeCell ref="C17:H17"/>
    <mergeCell ref="C18:E18"/>
    <mergeCell ref="F18:H18"/>
    <mergeCell ref="C19:D19"/>
    <mergeCell ref="C20:D20"/>
    <mergeCell ref="J20:Q20"/>
    <mergeCell ref="C21:D21"/>
    <mergeCell ref="J21:M21"/>
    <mergeCell ref="N21:Q21"/>
    <mergeCell ref="A13:B13"/>
    <mergeCell ref="C13:J13"/>
    <mergeCell ref="K13:Q13"/>
    <mergeCell ref="A15:H15"/>
    <mergeCell ref="J15:Q15"/>
    <mergeCell ref="C16:E16"/>
    <mergeCell ref="F16:H16"/>
    <mergeCell ref="J16:M16"/>
    <mergeCell ref="N16:Q16"/>
    <mergeCell ref="A8:B8"/>
    <mergeCell ref="C8:L8"/>
    <mergeCell ref="A10:B10"/>
    <mergeCell ref="C10:J10"/>
    <mergeCell ref="K10:Q10"/>
    <mergeCell ref="A11:B11"/>
    <mergeCell ref="C11:J11"/>
    <mergeCell ref="K11:Q11"/>
    <mergeCell ref="A12:B12"/>
    <mergeCell ref="C12:J12"/>
    <mergeCell ref="K12:Q12"/>
    <mergeCell ref="N1:Q1"/>
    <mergeCell ref="N2:Q2"/>
    <mergeCell ref="N3:Q3"/>
    <mergeCell ref="A5:B5"/>
    <mergeCell ref="C5:H5"/>
    <mergeCell ref="A6:B6"/>
    <mergeCell ref="C6:H6"/>
    <mergeCell ref="A7:B7"/>
    <mergeCell ref="C7:H7"/>
  </mergeCells>
  <conditionalFormatting sqref="C22:C23">
    <cfRule type="duplicateValues" dxfId="71" priority="7" stopIfTrue="1"/>
    <cfRule type="duplicateValues" dxfId="70" priority="8" stopIfTrue="1"/>
    <cfRule type="duplicateValues" dxfId="69" priority="9" stopIfTrue="1"/>
    <cfRule type="duplicateValues" dxfId="68" priority="10" stopIfTrue="1"/>
    <cfRule type="duplicateValues" dxfId="67" priority="11" stopIfTrue="1"/>
    <cfRule type="duplicateValues" dxfId="66" priority="12" stopIfTrue="1"/>
  </conditionalFormatting>
  <conditionalFormatting sqref="C24">
    <cfRule type="duplicateValues" dxfId="65" priority="1" stopIfTrue="1"/>
    <cfRule type="duplicateValues" dxfId="64" priority="2" stopIfTrue="1"/>
    <cfRule type="duplicateValues" dxfId="63" priority="3" stopIfTrue="1"/>
    <cfRule type="duplicateValues" dxfId="62" priority="4" stopIfTrue="1"/>
    <cfRule type="duplicateValues" dxfId="61" priority="5" stopIfTrue="1"/>
    <cfRule type="duplicateValues" dxfId="60" priority="6" stopIfTrue="1"/>
  </conditionalFormatting>
  <printOptions horizontalCentered="1"/>
  <pageMargins left="0.23622047244094499" right="0.23622047244094499" top="0.74803149606299202" bottom="0.74803149606299202" header="0.31496062992126" footer="0.31496062992126"/>
  <pageSetup paperSize="9" scale="66" orientation="portrait" horizontalDpi="300" verticalDpi="30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FF00"/>
    <pageSetUpPr fitToPage="1"/>
  </sheetPr>
  <dimension ref="A1:N45"/>
  <sheetViews>
    <sheetView showGridLines="0" view="pageBreakPreview" zoomScaleNormal="100" workbookViewId="0">
      <selection activeCell="M9" sqref="M9:N9"/>
    </sheetView>
  </sheetViews>
  <sheetFormatPr defaultColWidth="9" defaultRowHeight="13.8"/>
  <cols>
    <col min="1" max="1" width="3.5546875" style="91" customWidth="1"/>
    <col min="2" max="2" width="11.77734375" style="91" customWidth="1"/>
    <col min="3" max="3" width="14.109375" style="91" customWidth="1"/>
    <col min="4" max="4" width="7.88671875" style="91" customWidth="1"/>
    <col min="5" max="5" width="6.77734375" style="91" customWidth="1"/>
    <col min="6" max="6" width="10.33203125" style="91" customWidth="1"/>
    <col min="7" max="7" width="12.21875" style="91" customWidth="1"/>
    <col min="8" max="8" width="1.88671875" style="91" customWidth="1"/>
    <col min="9" max="9" width="13.21875" style="91" customWidth="1"/>
    <col min="10" max="10" width="6.21875" style="91" customWidth="1"/>
    <col min="11" max="11" width="9.88671875" style="91" customWidth="1"/>
    <col min="12" max="12" width="7.5546875" style="91" customWidth="1"/>
    <col min="13" max="13" width="9" style="91"/>
    <col min="14" max="14" width="16.21875" style="91" customWidth="1"/>
    <col min="15" max="15" width="29" style="91" customWidth="1"/>
    <col min="16" max="16" width="9.77734375" style="91" customWidth="1"/>
    <col min="17" max="16384" width="9" style="91"/>
  </cols>
  <sheetData>
    <row r="1" spans="1:14" ht="16.2" customHeight="1">
      <c r="A1" s="636"/>
      <c r="B1" s="637"/>
      <c r="C1" s="352" t="s">
        <v>112</v>
      </c>
      <c r="D1" s="352"/>
      <c r="E1" s="352"/>
      <c r="F1" s="352"/>
      <c r="G1" s="352"/>
      <c r="H1" s="352"/>
      <c r="I1" s="352"/>
      <c r="J1" s="342" t="s">
        <v>113</v>
      </c>
      <c r="K1" s="343"/>
      <c r="L1" s="344"/>
    </row>
    <row r="2" spans="1:14" ht="16.2" customHeight="1">
      <c r="A2" s="638"/>
      <c r="B2" s="639"/>
      <c r="C2" s="355"/>
      <c r="D2" s="355"/>
      <c r="E2" s="355"/>
      <c r="F2" s="355"/>
      <c r="G2" s="355"/>
      <c r="H2" s="355"/>
      <c r="I2" s="355"/>
      <c r="J2" s="374" t="s">
        <v>114</v>
      </c>
      <c r="K2" s="375"/>
      <c r="L2" s="376"/>
    </row>
    <row r="3" spans="1:14" ht="16.2" customHeight="1">
      <c r="A3" s="640"/>
      <c r="B3" s="641"/>
      <c r="C3" s="358"/>
      <c r="D3" s="358"/>
      <c r="E3" s="358"/>
      <c r="F3" s="358"/>
      <c r="G3" s="358"/>
      <c r="H3" s="358"/>
      <c r="I3" s="358"/>
      <c r="J3" s="381" t="s">
        <v>165</v>
      </c>
      <c r="K3" s="382"/>
      <c r="L3" s="383"/>
      <c r="N3" s="91" t="str">
        <f>[1]In!J5</f>
        <v>SX2311007</v>
      </c>
    </row>
    <row r="4" spans="1:14" ht="15" customHeight="1">
      <c r="A4" s="107"/>
    </row>
    <row r="5" spans="1:14" ht="15" customHeight="1">
      <c r="A5" s="92" t="s">
        <v>116</v>
      </c>
      <c r="C5" s="575" t="str">
        <f>In!C8</f>
        <v>26BA2HKH00563000029</v>
      </c>
      <c r="D5" s="575"/>
      <c r="E5" s="93"/>
      <c r="F5" s="93"/>
      <c r="G5" s="93"/>
      <c r="H5" s="93"/>
      <c r="I5" s="92" t="s">
        <v>3</v>
      </c>
      <c r="J5" s="94" t="str">
        <f>In!C9</f>
        <v>SX2607045</v>
      </c>
    </row>
    <row r="6" spans="1:14" ht="15" customHeight="1">
      <c r="A6" s="92" t="s">
        <v>117</v>
      </c>
      <c r="C6" s="642" t="str">
        <f>In!C7</f>
        <v>BT1KH00563KP0004</v>
      </c>
      <c r="D6" s="642"/>
      <c r="E6" s="95"/>
      <c r="F6" s="95"/>
      <c r="G6" s="95"/>
      <c r="H6" s="93"/>
      <c r="I6" s="92" t="s">
        <v>118</v>
      </c>
      <c r="J6" s="96" t="s">
        <v>105</v>
      </c>
    </row>
    <row r="7" spans="1:14" ht="15" customHeight="1">
      <c r="A7" s="92" t="s">
        <v>120</v>
      </c>
      <c r="C7" s="575" t="str">
        <f>In!C6</f>
        <v>Bao giấy 25kg AM-20 Tân Châu</v>
      </c>
      <c r="D7" s="575"/>
      <c r="E7" s="575"/>
      <c r="F7" s="575"/>
      <c r="G7" s="575"/>
      <c r="H7" s="575"/>
      <c r="I7" s="92" t="s">
        <v>121</v>
      </c>
      <c r="J7" s="96" t="s">
        <v>387</v>
      </c>
    </row>
    <row r="8" spans="1:14" ht="32.4" customHeight="1">
      <c r="A8" s="92" t="s">
        <v>123</v>
      </c>
      <c r="B8" s="94"/>
      <c r="C8" s="575" t="str">
        <f>In!C5</f>
        <v xml:space="preserve">NHÀ MÁY SX TINH BỘT SẮN TÂN CHÂU-CN CÔNG TY CPNS THỰC PHẨM QUẢNG NGÃI					</v>
      </c>
      <c r="D8" s="575"/>
      <c r="E8" s="575"/>
      <c r="F8" s="575"/>
      <c r="G8" s="575"/>
      <c r="H8" s="575"/>
      <c r="I8" s="92" t="s">
        <v>124</v>
      </c>
      <c r="J8" s="96" t="s">
        <v>387</v>
      </c>
    </row>
    <row r="9" spans="1:14" ht="15" customHeight="1">
      <c r="A9" s="92"/>
      <c r="B9" s="94"/>
      <c r="C9" s="94"/>
      <c r="D9" s="94"/>
      <c r="E9" s="94"/>
      <c r="F9" s="94"/>
      <c r="G9" s="94"/>
      <c r="I9" s="94"/>
    </row>
    <row r="10" spans="1:14" ht="15" customHeight="1">
      <c r="A10" s="345"/>
      <c r="B10" s="346"/>
      <c r="C10" s="349" t="s">
        <v>125</v>
      </c>
      <c r="D10" s="349"/>
      <c r="E10" s="349"/>
      <c r="F10" s="349"/>
      <c r="G10" s="349"/>
      <c r="H10" s="349" t="s">
        <v>126</v>
      </c>
      <c r="I10" s="349"/>
      <c r="J10" s="349"/>
      <c r="K10" s="349"/>
      <c r="L10" s="350"/>
    </row>
    <row r="11" spans="1:14" ht="15" customHeight="1">
      <c r="A11" s="440" t="s">
        <v>127</v>
      </c>
      <c r="B11" s="441"/>
      <c r="C11" s="371" t="s">
        <v>358</v>
      </c>
      <c r="D11" s="371"/>
      <c r="E11" s="371"/>
      <c r="F11" s="371"/>
      <c r="G11" s="371"/>
      <c r="H11" s="371" t="s">
        <v>358</v>
      </c>
      <c r="I11" s="371"/>
      <c r="J11" s="371"/>
      <c r="K11" s="371"/>
      <c r="L11" s="646"/>
    </row>
    <row r="12" spans="1:14" ht="15" customHeight="1">
      <c r="A12" s="440" t="s">
        <v>129</v>
      </c>
      <c r="B12" s="441"/>
      <c r="C12" s="371" t="s">
        <v>130</v>
      </c>
      <c r="D12" s="371"/>
      <c r="E12" s="371"/>
      <c r="F12" s="371"/>
      <c r="G12" s="371"/>
      <c r="H12" s="371" t="s">
        <v>357</v>
      </c>
      <c r="I12" s="371"/>
      <c r="J12" s="371"/>
      <c r="K12" s="371"/>
      <c r="L12" s="646"/>
    </row>
    <row r="13" spans="1:14" ht="15" customHeight="1">
      <c r="A13" s="448" t="s">
        <v>132</v>
      </c>
      <c r="B13" s="449"/>
      <c r="C13" s="439"/>
      <c r="D13" s="439"/>
      <c r="E13" s="439"/>
      <c r="F13" s="439"/>
      <c r="G13" s="439"/>
      <c r="H13" s="659"/>
      <c r="I13" s="659"/>
      <c r="J13" s="659"/>
      <c r="K13" s="659"/>
      <c r="L13" s="429"/>
    </row>
    <row r="14" spans="1:14" ht="12" customHeight="1">
      <c r="A14" s="94"/>
      <c r="B14" s="94"/>
      <c r="C14" s="94"/>
      <c r="D14" s="94"/>
      <c r="E14" s="94"/>
      <c r="H14" s="94"/>
      <c r="J14" s="94"/>
    </row>
    <row r="15" spans="1:14" ht="19.05" customHeight="1">
      <c r="A15" s="660" t="s">
        <v>177</v>
      </c>
      <c r="B15" s="661"/>
      <c r="C15" s="661"/>
      <c r="D15" s="661"/>
      <c r="E15" s="661"/>
      <c r="F15" s="661"/>
      <c r="G15" s="662"/>
      <c r="I15" s="348" t="s">
        <v>134</v>
      </c>
      <c r="J15" s="349"/>
      <c r="K15" s="349"/>
      <c r="L15" s="350"/>
    </row>
    <row r="16" spans="1:14" ht="16.95" customHeight="1">
      <c r="A16" s="652" t="s">
        <v>135</v>
      </c>
      <c r="B16" s="653"/>
      <c r="C16" s="441" t="str">
        <f>'In 1'!C16</f>
        <v>Bao KP</v>
      </c>
      <c r="D16" s="441"/>
      <c r="E16" s="441"/>
      <c r="F16" s="441"/>
      <c r="G16" s="453"/>
      <c r="I16" s="643" t="s">
        <v>137</v>
      </c>
      <c r="J16" s="644"/>
      <c r="K16" s="644" t="s">
        <v>138</v>
      </c>
      <c r="L16" s="645"/>
    </row>
    <row r="17" spans="1:12" ht="16.95" customHeight="1">
      <c r="A17" s="652" t="s">
        <v>139</v>
      </c>
      <c r="B17" s="653"/>
      <c r="C17" s="654" t="str">
        <f>'In 1'!C17</f>
        <v>500 x 920</v>
      </c>
      <c r="D17" s="654"/>
      <c r="E17" s="654"/>
      <c r="F17" s="371" t="s">
        <v>140</v>
      </c>
      <c r="G17" s="646"/>
      <c r="I17" s="612"/>
      <c r="J17" s="613"/>
      <c r="K17" s="615"/>
      <c r="L17" s="649"/>
    </row>
    <row r="18" spans="1:12" ht="16.95" customHeight="1">
      <c r="A18" s="652" t="s">
        <v>141</v>
      </c>
      <c r="B18" s="653"/>
      <c r="C18" s="654" t="str">
        <f>'In 1'!C18</f>
        <v>500 x 920</v>
      </c>
      <c r="D18" s="654"/>
      <c r="E18" s="654"/>
      <c r="F18" s="371" t="s">
        <v>140</v>
      </c>
      <c r="G18" s="646"/>
      <c r="I18" s="612"/>
      <c r="J18" s="613"/>
      <c r="K18" s="615"/>
      <c r="L18" s="649"/>
    </row>
    <row r="19" spans="1:12" ht="16.95" customHeight="1">
      <c r="A19" s="652" t="s">
        <v>142</v>
      </c>
      <c r="B19" s="653"/>
      <c r="C19" s="654">
        <f>In!M6</f>
        <v>5000</v>
      </c>
      <c r="D19" s="654"/>
      <c r="E19" s="654"/>
      <c r="F19" s="371" t="s">
        <v>12</v>
      </c>
      <c r="G19" s="646"/>
      <c r="I19" s="612"/>
      <c r="J19" s="613"/>
      <c r="K19" s="615"/>
      <c r="L19" s="649"/>
    </row>
    <row r="20" spans="1:12" ht="16.95" customHeight="1">
      <c r="A20" s="655" t="s">
        <v>143</v>
      </c>
      <c r="B20" s="656"/>
      <c r="C20" s="657">
        <f>C19</f>
        <v>5000</v>
      </c>
      <c r="D20" s="657"/>
      <c r="E20" s="657"/>
      <c r="F20" s="439" t="s">
        <v>12</v>
      </c>
      <c r="G20" s="658"/>
      <c r="I20" s="647"/>
      <c r="J20" s="648"/>
      <c r="K20" s="650"/>
      <c r="L20" s="651"/>
    </row>
    <row r="21" spans="1:12" ht="12" customHeight="1">
      <c r="A21" s="402"/>
      <c r="B21" s="402"/>
      <c r="E21" s="402"/>
      <c r="F21" s="402"/>
      <c r="G21" s="402"/>
      <c r="H21" s="402"/>
    </row>
    <row r="22" spans="1:12" ht="15.6">
      <c r="A22" s="348" t="s">
        <v>145</v>
      </c>
      <c r="B22" s="349"/>
      <c r="C22" s="103" t="s">
        <v>146</v>
      </c>
      <c r="D22" s="349" t="s">
        <v>147</v>
      </c>
      <c r="E22" s="349"/>
      <c r="F22" s="349"/>
      <c r="G22" s="349" t="s">
        <v>176</v>
      </c>
      <c r="H22" s="665"/>
      <c r="I22" s="393" t="s">
        <v>149</v>
      </c>
      <c r="J22" s="393"/>
      <c r="K22" s="393"/>
      <c r="L22" s="666"/>
    </row>
    <row r="23" spans="1:12" ht="19.95" customHeight="1">
      <c r="A23" s="669" t="s">
        <v>150</v>
      </c>
      <c r="B23" s="436"/>
      <c r="C23" s="104"/>
      <c r="D23" s="644"/>
      <c r="E23" s="644"/>
      <c r="F23" s="644"/>
      <c r="G23" s="644"/>
      <c r="H23" s="663"/>
      <c r="I23" s="639"/>
      <c r="J23" s="639"/>
      <c r="K23" s="639"/>
      <c r="L23" s="664"/>
    </row>
    <row r="24" spans="1:12" ht="19.95" customHeight="1">
      <c r="A24" s="670"/>
      <c r="B24" s="671"/>
      <c r="C24" s="104"/>
      <c r="D24" s="644"/>
      <c r="E24" s="644"/>
      <c r="F24" s="644"/>
      <c r="G24" s="644"/>
      <c r="H24" s="663"/>
      <c r="I24" s="639"/>
      <c r="J24" s="639"/>
      <c r="K24" s="639"/>
      <c r="L24" s="664"/>
    </row>
    <row r="25" spans="1:12" ht="19.95" customHeight="1">
      <c r="A25" s="670"/>
      <c r="B25" s="671"/>
      <c r="C25" s="104"/>
      <c r="D25" s="644"/>
      <c r="E25" s="644"/>
      <c r="F25" s="644"/>
      <c r="G25" s="644"/>
      <c r="H25" s="663"/>
      <c r="I25" s="639"/>
      <c r="J25" s="639"/>
      <c r="K25" s="639"/>
      <c r="L25" s="664"/>
    </row>
    <row r="26" spans="1:12" ht="19.95" customHeight="1">
      <c r="A26" s="670"/>
      <c r="B26" s="671"/>
      <c r="C26" s="104"/>
      <c r="D26" s="644"/>
      <c r="E26" s="644"/>
      <c r="F26" s="644"/>
      <c r="G26" s="644"/>
      <c r="H26" s="663"/>
      <c r="I26" s="639"/>
      <c r="J26" s="639"/>
      <c r="K26" s="639"/>
      <c r="L26" s="664"/>
    </row>
    <row r="27" spans="1:12" ht="19.95" customHeight="1">
      <c r="A27" s="670"/>
      <c r="B27" s="671"/>
      <c r="C27" s="105"/>
      <c r="D27" s="659"/>
      <c r="E27" s="659"/>
      <c r="F27" s="659"/>
      <c r="G27" s="659"/>
      <c r="H27" s="683"/>
      <c r="I27" s="641"/>
      <c r="J27" s="641"/>
      <c r="K27" s="641"/>
      <c r="L27" s="689"/>
    </row>
    <row r="28" spans="1:12" ht="12" hidden="1" customHeight="1">
      <c r="A28" s="402"/>
      <c r="B28" s="402"/>
      <c r="E28" s="402"/>
      <c r="F28" s="402"/>
      <c r="G28" s="402"/>
      <c r="H28" s="402"/>
    </row>
    <row r="29" spans="1:12" ht="15.6">
      <c r="A29" s="348" t="s">
        <v>145</v>
      </c>
      <c r="B29" s="349"/>
      <c r="C29" s="103" t="s">
        <v>146</v>
      </c>
      <c r="D29" s="349" t="s">
        <v>147</v>
      </c>
      <c r="E29" s="349"/>
      <c r="F29" s="349"/>
      <c r="G29" s="349" t="s">
        <v>176</v>
      </c>
      <c r="H29" s="665"/>
      <c r="I29" s="393" t="s">
        <v>149</v>
      </c>
      <c r="J29" s="393"/>
      <c r="K29" s="393"/>
      <c r="L29" s="666"/>
    </row>
    <row r="30" spans="1:12" ht="19.95" customHeight="1">
      <c r="A30" s="669" t="s">
        <v>151</v>
      </c>
      <c r="B30" s="436"/>
      <c r="C30" s="104"/>
      <c r="D30" s="644"/>
      <c r="E30" s="644"/>
      <c r="F30" s="644"/>
      <c r="G30" s="644"/>
      <c r="H30" s="663"/>
      <c r="I30" s="639"/>
      <c r="J30" s="639"/>
      <c r="K30" s="639"/>
      <c r="L30" s="664"/>
    </row>
    <row r="31" spans="1:12" ht="19.95" customHeight="1">
      <c r="A31" s="670"/>
      <c r="B31" s="671"/>
      <c r="C31" s="104"/>
      <c r="D31" s="644"/>
      <c r="E31" s="644"/>
      <c r="F31" s="644"/>
      <c r="G31" s="644"/>
      <c r="H31" s="663"/>
      <c r="I31" s="639"/>
      <c r="J31" s="639"/>
      <c r="K31" s="639"/>
      <c r="L31" s="664"/>
    </row>
    <row r="32" spans="1:12" ht="19.95" customHeight="1">
      <c r="A32" s="670"/>
      <c r="B32" s="671"/>
      <c r="C32" s="104"/>
      <c r="D32" s="644"/>
      <c r="E32" s="644"/>
      <c r="F32" s="644"/>
      <c r="G32" s="644"/>
      <c r="H32" s="663"/>
      <c r="I32" s="639"/>
      <c r="J32" s="639"/>
      <c r="K32" s="639"/>
      <c r="L32" s="664"/>
    </row>
    <row r="33" spans="1:12" ht="19.95" customHeight="1">
      <c r="A33" s="670"/>
      <c r="B33" s="671"/>
      <c r="C33" s="104"/>
      <c r="D33" s="644"/>
      <c r="E33" s="644"/>
      <c r="F33" s="644"/>
      <c r="G33" s="644"/>
      <c r="H33" s="663"/>
      <c r="I33" s="639"/>
      <c r="J33" s="639"/>
      <c r="K33" s="639"/>
      <c r="L33" s="664"/>
    </row>
    <row r="34" spans="1:12" ht="19.95" customHeight="1">
      <c r="A34" s="672"/>
      <c r="B34" s="673"/>
      <c r="C34" s="106"/>
      <c r="D34" s="667"/>
      <c r="E34" s="667"/>
      <c r="F34" s="667"/>
      <c r="G34" s="667"/>
      <c r="H34" s="668"/>
      <c r="I34" s="680"/>
      <c r="J34" s="681"/>
      <c r="K34" s="681"/>
      <c r="L34" s="682"/>
    </row>
    <row r="35" spans="1:12" ht="19.95" customHeight="1">
      <c r="A35" s="684" t="s">
        <v>152</v>
      </c>
      <c r="B35" s="685"/>
      <c r="C35" s="685"/>
      <c r="D35" s="685"/>
      <c r="E35" s="685"/>
      <c r="F35" s="685"/>
      <c r="G35" s="685"/>
      <c r="H35" s="685"/>
      <c r="I35" s="686"/>
      <c r="J35" s="687"/>
      <c r="K35" s="687"/>
      <c r="L35" s="688"/>
    </row>
    <row r="36" spans="1:12" ht="12" customHeight="1">
      <c r="A36" s="402"/>
      <c r="B36" s="402"/>
      <c r="D36" s="578"/>
      <c r="E36" s="578"/>
      <c r="F36" s="578"/>
      <c r="G36" s="578"/>
      <c r="H36" s="584"/>
      <c r="I36" s="339"/>
      <c r="J36" s="339"/>
      <c r="K36" s="339"/>
      <c r="L36" s="339"/>
    </row>
    <row r="37" spans="1:12">
      <c r="A37" s="595" t="s">
        <v>149</v>
      </c>
      <c r="B37" s="596"/>
      <c r="C37" s="596"/>
      <c r="D37" s="596"/>
      <c r="E37" s="596"/>
      <c r="F37" s="596"/>
      <c r="G37" s="606"/>
      <c r="H37" s="107"/>
      <c r="I37" s="351" t="s">
        <v>153</v>
      </c>
      <c r="J37" s="349"/>
      <c r="K37" s="352" t="s">
        <v>154</v>
      </c>
      <c r="L37" s="350"/>
    </row>
    <row r="38" spans="1:12" ht="16.05" customHeight="1">
      <c r="A38" s="612"/>
      <c r="B38" s="578"/>
      <c r="C38" s="578"/>
      <c r="D38" s="578"/>
      <c r="E38" s="578"/>
      <c r="F38" s="578"/>
      <c r="G38" s="649"/>
      <c r="H38" s="107"/>
      <c r="I38" s="643"/>
      <c r="J38" s="644"/>
      <c r="K38" s="644"/>
      <c r="L38" s="645"/>
    </row>
    <row r="39" spans="1:12" ht="19.05" customHeight="1">
      <c r="A39" s="674"/>
      <c r="B39" s="675"/>
      <c r="C39" s="675"/>
      <c r="D39" s="675"/>
      <c r="E39" s="675"/>
      <c r="F39" s="675"/>
      <c r="G39" s="676"/>
      <c r="I39" s="370"/>
      <c r="J39" s="371"/>
      <c r="K39" s="371"/>
      <c r="L39" s="646"/>
    </row>
    <row r="40" spans="1:12" ht="19.05" customHeight="1">
      <c r="A40" s="677"/>
      <c r="B40" s="678"/>
      <c r="C40" s="678"/>
      <c r="D40" s="678"/>
      <c r="E40" s="678"/>
      <c r="F40" s="678"/>
      <c r="G40" s="679"/>
      <c r="I40" s="370"/>
      <c r="J40" s="371"/>
      <c r="K40" s="371"/>
      <c r="L40" s="646"/>
    </row>
    <row r="41" spans="1:12" ht="19.05" customHeight="1">
      <c r="A41" s="266"/>
      <c r="B41" s="267"/>
      <c r="C41" s="267"/>
      <c r="D41" s="267"/>
      <c r="E41" s="267"/>
      <c r="F41" s="267"/>
      <c r="G41" s="268"/>
      <c r="I41" s="405"/>
      <c r="J41" s="439"/>
      <c r="K41" s="439"/>
      <c r="L41" s="658"/>
    </row>
    <row r="42" spans="1:12" ht="16.05" customHeight="1"/>
    <row r="43" spans="1:12" ht="16.05" customHeight="1"/>
    <row r="44" spans="1:12" ht="16.05" customHeight="1"/>
    <row r="45" spans="1:12">
      <c r="H45" s="94"/>
    </row>
  </sheetData>
  <mergeCells count="101">
    <mergeCell ref="I27:L27"/>
    <mergeCell ref="A28:B28"/>
    <mergeCell ref="E28:F28"/>
    <mergeCell ref="G28:H28"/>
    <mergeCell ref="D25:F25"/>
    <mergeCell ref="G25:H25"/>
    <mergeCell ref="I25:L25"/>
    <mergeCell ref="A29:B29"/>
    <mergeCell ref="D29:F29"/>
    <mergeCell ref="G29:H29"/>
    <mergeCell ref="I29:L29"/>
    <mergeCell ref="D26:F26"/>
    <mergeCell ref="G26:H26"/>
    <mergeCell ref="I26:L26"/>
    <mergeCell ref="D30:F30"/>
    <mergeCell ref="G30:H30"/>
    <mergeCell ref="I30:L30"/>
    <mergeCell ref="D27:F27"/>
    <mergeCell ref="K39:L41"/>
    <mergeCell ref="A23:B27"/>
    <mergeCell ref="A30:B34"/>
    <mergeCell ref="A37:G38"/>
    <mergeCell ref="I37:J38"/>
    <mergeCell ref="K37:L38"/>
    <mergeCell ref="A39:G39"/>
    <mergeCell ref="A40:G40"/>
    <mergeCell ref="I34:L34"/>
    <mergeCell ref="D31:F31"/>
    <mergeCell ref="G31:H31"/>
    <mergeCell ref="I31:L31"/>
    <mergeCell ref="D32:F32"/>
    <mergeCell ref="G32:H32"/>
    <mergeCell ref="I32:L32"/>
    <mergeCell ref="G27:H27"/>
    <mergeCell ref="I39:J41"/>
    <mergeCell ref="A35:F35"/>
    <mergeCell ref="G35:H35"/>
    <mergeCell ref="I35:L35"/>
    <mergeCell ref="A36:B36"/>
    <mergeCell ref="D36:F36"/>
    <mergeCell ref="G36:H36"/>
    <mergeCell ref="I36:L36"/>
    <mergeCell ref="D33:F33"/>
    <mergeCell ref="G33:H33"/>
    <mergeCell ref="I33:L33"/>
    <mergeCell ref="D34:F34"/>
    <mergeCell ref="G34:H34"/>
    <mergeCell ref="D24:F24"/>
    <mergeCell ref="G24:H24"/>
    <mergeCell ref="I24:L24"/>
    <mergeCell ref="A21:B21"/>
    <mergeCell ref="E21:F21"/>
    <mergeCell ref="G21:H21"/>
    <mergeCell ref="A22:B22"/>
    <mergeCell ref="D22:F22"/>
    <mergeCell ref="G22:H22"/>
    <mergeCell ref="I22:L22"/>
    <mergeCell ref="D23:F23"/>
    <mergeCell ref="G23:H23"/>
    <mergeCell ref="I23:L23"/>
    <mergeCell ref="I17:J20"/>
    <mergeCell ref="K17:L20"/>
    <mergeCell ref="A19:B19"/>
    <mergeCell ref="C19:E19"/>
    <mergeCell ref="F19:G19"/>
    <mergeCell ref="A20:B20"/>
    <mergeCell ref="C20:E20"/>
    <mergeCell ref="F20:G20"/>
    <mergeCell ref="H13:L13"/>
    <mergeCell ref="A17:B17"/>
    <mergeCell ref="C17:E17"/>
    <mergeCell ref="F17:G17"/>
    <mergeCell ref="A18:B18"/>
    <mergeCell ref="C18:E18"/>
    <mergeCell ref="F18:G18"/>
    <mergeCell ref="A15:G15"/>
    <mergeCell ref="I15:L15"/>
    <mergeCell ref="A16:B16"/>
    <mergeCell ref="C16:G16"/>
    <mergeCell ref="A1:B3"/>
    <mergeCell ref="C1:I3"/>
    <mergeCell ref="J1:L1"/>
    <mergeCell ref="J2:L2"/>
    <mergeCell ref="J3:L3"/>
    <mergeCell ref="C5:D5"/>
    <mergeCell ref="C6:D6"/>
    <mergeCell ref="C8:H8"/>
    <mergeCell ref="I16:J16"/>
    <mergeCell ref="K16:L16"/>
    <mergeCell ref="C7:H7"/>
    <mergeCell ref="A10:B10"/>
    <mergeCell ref="C10:G10"/>
    <mergeCell ref="H10:L10"/>
    <mergeCell ref="A11:B11"/>
    <mergeCell ref="C11:G11"/>
    <mergeCell ref="H11:L11"/>
    <mergeCell ref="A12:B12"/>
    <mergeCell ref="C12:G12"/>
    <mergeCell ref="H12:L12"/>
    <mergeCell ref="A13:B13"/>
    <mergeCell ref="C13:G13"/>
  </mergeCells>
  <pageMargins left="0.25" right="0.25" top="0.75" bottom="0.75" header="0.3" footer="0.3"/>
  <pageSetup paperSize="9" scale="93" fitToHeight="0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FF00"/>
    <pageSetUpPr fitToPage="1"/>
  </sheetPr>
  <dimension ref="A1:N45"/>
  <sheetViews>
    <sheetView showGridLines="0" view="pageBreakPreview" zoomScaleNormal="100" workbookViewId="0">
      <selection activeCell="M9" sqref="M9:N9"/>
    </sheetView>
  </sheetViews>
  <sheetFormatPr defaultColWidth="9" defaultRowHeight="13.8"/>
  <cols>
    <col min="1" max="1" width="3.5546875" style="91" customWidth="1"/>
    <col min="2" max="2" width="11.77734375" style="91" customWidth="1"/>
    <col min="3" max="3" width="14.109375" style="91" customWidth="1"/>
    <col min="4" max="4" width="7.88671875" style="91" customWidth="1"/>
    <col min="5" max="5" width="6.77734375" style="91" customWidth="1"/>
    <col min="6" max="6" width="10.33203125" style="91" customWidth="1"/>
    <col min="7" max="7" width="12.21875" style="91" customWidth="1"/>
    <col min="8" max="8" width="1.88671875" style="91" customWidth="1"/>
    <col min="9" max="9" width="13.21875" style="91" customWidth="1"/>
    <col min="10" max="10" width="6.21875" style="91" customWidth="1"/>
    <col min="11" max="11" width="9.88671875" style="91" customWidth="1"/>
    <col min="12" max="12" width="7.5546875" style="91" customWidth="1"/>
    <col min="13" max="13" width="9" style="91"/>
    <col min="14" max="14" width="16.21875" style="91" customWidth="1"/>
    <col min="15" max="15" width="29" style="91" customWidth="1"/>
    <col min="16" max="16" width="9.77734375" style="91" customWidth="1"/>
    <col min="17" max="16384" width="9" style="91"/>
  </cols>
  <sheetData>
    <row r="1" spans="1:14" ht="16.2" customHeight="1">
      <c r="A1" s="636"/>
      <c r="B1" s="637"/>
      <c r="C1" s="352" t="s">
        <v>112</v>
      </c>
      <c r="D1" s="352"/>
      <c r="E1" s="352"/>
      <c r="F1" s="352"/>
      <c r="G1" s="352"/>
      <c r="H1" s="352"/>
      <c r="I1" s="352"/>
      <c r="J1" s="342" t="s">
        <v>113</v>
      </c>
      <c r="K1" s="343"/>
      <c r="L1" s="344"/>
    </row>
    <row r="2" spans="1:14" ht="16.2" customHeight="1">
      <c r="A2" s="638"/>
      <c r="B2" s="639"/>
      <c r="C2" s="355"/>
      <c r="D2" s="355"/>
      <c r="E2" s="355"/>
      <c r="F2" s="355"/>
      <c r="G2" s="355"/>
      <c r="H2" s="355"/>
      <c r="I2" s="355"/>
      <c r="J2" s="374" t="s">
        <v>114</v>
      </c>
      <c r="K2" s="375"/>
      <c r="L2" s="376"/>
      <c r="N2" s="91" t="str">
        <f>[1]In!J5</f>
        <v>SX2311007</v>
      </c>
    </row>
    <row r="3" spans="1:14" ht="16.2" customHeight="1">
      <c r="A3" s="640"/>
      <c r="B3" s="641"/>
      <c r="C3" s="358"/>
      <c r="D3" s="358"/>
      <c r="E3" s="358"/>
      <c r="F3" s="358"/>
      <c r="G3" s="358"/>
      <c r="H3" s="358"/>
      <c r="I3" s="358"/>
      <c r="J3" s="381" t="s">
        <v>165</v>
      </c>
      <c r="K3" s="382"/>
      <c r="L3" s="383"/>
    </row>
    <row r="4" spans="1:14" ht="15" customHeight="1">
      <c r="A4" s="107"/>
    </row>
    <row r="5" spans="1:14" ht="15" customHeight="1">
      <c r="A5" s="92" t="s">
        <v>116</v>
      </c>
      <c r="C5" s="575"/>
      <c r="D5" s="575"/>
      <c r="E5" s="93"/>
      <c r="F5" s="93"/>
      <c r="G5" s="93"/>
      <c r="H5" s="93"/>
      <c r="I5" s="92" t="s">
        <v>3</v>
      </c>
      <c r="J5" s="94" t="str">
        <f>In!C9</f>
        <v>SX2607045</v>
      </c>
    </row>
    <row r="6" spans="1:14" ht="15" customHeight="1">
      <c r="A6" s="92" t="s">
        <v>117</v>
      </c>
      <c r="C6" s="642"/>
      <c r="D6" s="642"/>
      <c r="E6" s="95"/>
      <c r="F6" s="95"/>
      <c r="G6" s="95"/>
      <c r="H6" s="93"/>
      <c r="I6" s="92" t="s">
        <v>118</v>
      </c>
      <c r="J6" s="96" t="s">
        <v>105</v>
      </c>
    </row>
    <row r="7" spans="1:14" ht="15" customHeight="1">
      <c r="A7" s="92" t="s">
        <v>120</v>
      </c>
      <c r="C7" s="575"/>
      <c r="D7" s="575"/>
      <c r="E7" s="575"/>
      <c r="F7" s="575"/>
      <c r="G7" s="575"/>
      <c r="H7" s="575"/>
      <c r="I7" s="92" t="s">
        <v>121</v>
      </c>
      <c r="J7" s="96" t="s">
        <v>387</v>
      </c>
    </row>
    <row r="8" spans="1:14" ht="32.4" customHeight="1">
      <c r="A8" s="92" t="s">
        <v>123</v>
      </c>
      <c r="B8" s="94"/>
      <c r="C8" s="575"/>
      <c r="D8" s="575"/>
      <c r="E8" s="575"/>
      <c r="F8" s="575"/>
      <c r="G8" s="575"/>
      <c r="H8" s="575"/>
      <c r="I8" s="92" t="s">
        <v>124</v>
      </c>
      <c r="J8" s="96" t="s">
        <v>387</v>
      </c>
    </row>
    <row r="9" spans="1:14" ht="15" customHeight="1">
      <c r="A9" s="92"/>
      <c r="B9" s="94"/>
      <c r="C9" s="94"/>
      <c r="D9" s="94"/>
      <c r="E9" s="94"/>
      <c r="F9" s="94"/>
      <c r="G9" s="94"/>
      <c r="I9" s="94"/>
    </row>
    <row r="10" spans="1:14" ht="15" customHeight="1">
      <c r="A10" s="345"/>
      <c r="B10" s="346"/>
      <c r="C10" s="349" t="s">
        <v>125</v>
      </c>
      <c r="D10" s="349"/>
      <c r="E10" s="349"/>
      <c r="F10" s="349"/>
      <c r="G10" s="349"/>
      <c r="H10" s="349" t="s">
        <v>126</v>
      </c>
      <c r="I10" s="349"/>
      <c r="J10" s="349"/>
      <c r="K10" s="349"/>
      <c r="L10" s="350"/>
    </row>
    <row r="11" spans="1:14" ht="15" customHeight="1">
      <c r="A11" s="440" t="s">
        <v>127</v>
      </c>
      <c r="B11" s="441"/>
      <c r="C11" s="371" t="s">
        <v>358</v>
      </c>
      <c r="D11" s="371"/>
      <c r="E11" s="371"/>
      <c r="F11" s="371"/>
      <c r="G11" s="371"/>
      <c r="H11" s="371" t="s">
        <v>358</v>
      </c>
      <c r="I11" s="371"/>
      <c r="J11" s="371"/>
      <c r="K11" s="371"/>
      <c r="L11" s="646"/>
    </row>
    <row r="12" spans="1:14" ht="15" customHeight="1">
      <c r="A12" s="440" t="s">
        <v>129</v>
      </c>
      <c r="B12" s="441"/>
      <c r="C12" s="371" t="s">
        <v>130</v>
      </c>
      <c r="D12" s="371"/>
      <c r="E12" s="371"/>
      <c r="F12" s="371"/>
      <c r="G12" s="371"/>
      <c r="H12" s="371" t="s">
        <v>357</v>
      </c>
      <c r="I12" s="371"/>
      <c r="J12" s="371"/>
      <c r="K12" s="371"/>
      <c r="L12" s="646"/>
    </row>
    <row r="13" spans="1:14" ht="15" customHeight="1">
      <c r="A13" s="448" t="s">
        <v>132</v>
      </c>
      <c r="B13" s="449"/>
      <c r="C13" s="439"/>
      <c r="D13" s="439"/>
      <c r="E13" s="439"/>
      <c r="F13" s="439"/>
      <c r="G13" s="439"/>
      <c r="H13" s="659"/>
      <c r="I13" s="659"/>
      <c r="J13" s="659"/>
      <c r="K13" s="659"/>
      <c r="L13" s="429"/>
    </row>
    <row r="14" spans="1:14" ht="12" customHeight="1">
      <c r="A14" s="94"/>
      <c r="B14" s="94"/>
      <c r="C14" s="94"/>
      <c r="D14" s="94"/>
      <c r="E14" s="94"/>
      <c r="H14" s="94"/>
      <c r="J14" s="94"/>
    </row>
    <row r="15" spans="1:14" ht="19.05" customHeight="1">
      <c r="A15" s="660" t="s">
        <v>175</v>
      </c>
      <c r="B15" s="661"/>
      <c r="C15" s="661"/>
      <c r="D15" s="661"/>
      <c r="E15" s="661"/>
      <c r="F15" s="661"/>
      <c r="G15" s="662"/>
      <c r="I15" s="348" t="s">
        <v>134</v>
      </c>
      <c r="J15" s="349"/>
      <c r="K15" s="349"/>
      <c r="L15" s="350"/>
    </row>
    <row r="16" spans="1:14" ht="16.95" customHeight="1">
      <c r="A16" s="652" t="s">
        <v>135</v>
      </c>
      <c r="B16" s="653"/>
      <c r="C16" s="441"/>
      <c r="D16" s="441"/>
      <c r="E16" s="441"/>
      <c r="F16" s="441"/>
      <c r="G16" s="453"/>
      <c r="I16" s="643" t="s">
        <v>137</v>
      </c>
      <c r="J16" s="644"/>
      <c r="K16" s="644" t="s">
        <v>138</v>
      </c>
      <c r="L16" s="645"/>
    </row>
    <row r="17" spans="1:12" ht="16.95" customHeight="1">
      <c r="A17" s="652" t="s">
        <v>139</v>
      </c>
      <c r="B17" s="653"/>
      <c r="C17" s="654"/>
      <c r="D17" s="654"/>
      <c r="E17" s="654"/>
      <c r="F17" s="371" t="s">
        <v>140</v>
      </c>
      <c r="G17" s="646"/>
      <c r="I17" s="612"/>
      <c r="J17" s="613"/>
      <c r="K17" s="615"/>
      <c r="L17" s="649"/>
    </row>
    <row r="18" spans="1:12" ht="16.95" customHeight="1">
      <c r="A18" s="652" t="s">
        <v>141</v>
      </c>
      <c r="B18" s="653"/>
      <c r="C18" s="654"/>
      <c r="D18" s="654"/>
      <c r="E18" s="654"/>
      <c r="F18" s="371" t="s">
        <v>140</v>
      </c>
      <c r="G18" s="646"/>
      <c r="I18" s="612"/>
      <c r="J18" s="613"/>
      <c r="K18" s="615"/>
      <c r="L18" s="649"/>
    </row>
    <row r="19" spans="1:12" ht="16.95" customHeight="1">
      <c r="A19" s="652" t="s">
        <v>142</v>
      </c>
      <c r="B19" s="653"/>
      <c r="C19" s="654"/>
      <c r="D19" s="654"/>
      <c r="E19" s="654"/>
      <c r="F19" s="371" t="s">
        <v>12</v>
      </c>
      <c r="G19" s="646"/>
      <c r="I19" s="612"/>
      <c r="J19" s="613"/>
      <c r="K19" s="615"/>
      <c r="L19" s="649"/>
    </row>
    <row r="20" spans="1:12" ht="16.95" customHeight="1">
      <c r="A20" s="655" t="s">
        <v>143</v>
      </c>
      <c r="B20" s="656"/>
      <c r="C20" s="657"/>
      <c r="D20" s="657"/>
      <c r="E20" s="657"/>
      <c r="F20" s="439" t="s">
        <v>12</v>
      </c>
      <c r="G20" s="658"/>
      <c r="I20" s="647"/>
      <c r="J20" s="648"/>
      <c r="K20" s="650"/>
      <c r="L20" s="651"/>
    </row>
    <row r="21" spans="1:12" ht="12" customHeight="1">
      <c r="A21" s="402"/>
      <c r="B21" s="402"/>
      <c r="E21" s="402"/>
      <c r="F21" s="402"/>
      <c r="G21" s="402"/>
      <c r="H21" s="402"/>
    </row>
    <row r="22" spans="1:12" ht="15.6">
      <c r="A22" s="348" t="s">
        <v>145</v>
      </c>
      <c r="B22" s="349"/>
      <c r="C22" s="103" t="s">
        <v>146</v>
      </c>
      <c r="D22" s="349" t="s">
        <v>147</v>
      </c>
      <c r="E22" s="349"/>
      <c r="F22" s="349"/>
      <c r="G22" s="349" t="s">
        <v>176</v>
      </c>
      <c r="H22" s="665"/>
      <c r="I22" s="393" t="s">
        <v>149</v>
      </c>
      <c r="J22" s="393"/>
      <c r="K22" s="393"/>
      <c r="L22" s="666"/>
    </row>
    <row r="23" spans="1:12" ht="19.95" customHeight="1">
      <c r="A23" s="669" t="s">
        <v>150</v>
      </c>
      <c r="B23" s="436"/>
      <c r="C23" s="104"/>
      <c r="D23" s="644"/>
      <c r="E23" s="644"/>
      <c r="F23" s="644"/>
      <c r="G23" s="644"/>
      <c r="H23" s="663"/>
      <c r="I23" s="639"/>
      <c r="J23" s="639"/>
      <c r="K23" s="639"/>
      <c r="L23" s="664"/>
    </row>
    <row r="24" spans="1:12" ht="19.95" customHeight="1">
      <c r="A24" s="670"/>
      <c r="B24" s="671"/>
      <c r="C24" s="104"/>
      <c r="D24" s="644"/>
      <c r="E24" s="644"/>
      <c r="F24" s="644"/>
      <c r="G24" s="644"/>
      <c r="H24" s="663"/>
      <c r="I24" s="639"/>
      <c r="J24" s="639"/>
      <c r="K24" s="639"/>
      <c r="L24" s="664"/>
    </row>
    <row r="25" spans="1:12" ht="19.95" customHeight="1">
      <c r="A25" s="670"/>
      <c r="B25" s="671"/>
      <c r="C25" s="104"/>
      <c r="D25" s="644"/>
      <c r="E25" s="644"/>
      <c r="F25" s="644"/>
      <c r="G25" s="644"/>
      <c r="H25" s="663"/>
      <c r="I25" s="639"/>
      <c r="J25" s="639"/>
      <c r="K25" s="639"/>
      <c r="L25" s="664"/>
    </row>
    <row r="26" spans="1:12" ht="19.95" customHeight="1">
      <c r="A26" s="670"/>
      <c r="B26" s="671"/>
      <c r="C26" s="104"/>
      <c r="D26" s="644"/>
      <c r="E26" s="644"/>
      <c r="F26" s="644"/>
      <c r="G26" s="644"/>
      <c r="H26" s="663"/>
      <c r="I26" s="639"/>
      <c r="J26" s="639"/>
      <c r="K26" s="639"/>
      <c r="L26" s="664"/>
    </row>
    <row r="27" spans="1:12" ht="19.95" customHeight="1">
      <c r="A27" s="670"/>
      <c r="B27" s="671"/>
      <c r="C27" s="105"/>
      <c r="D27" s="659"/>
      <c r="E27" s="659"/>
      <c r="F27" s="659"/>
      <c r="G27" s="659"/>
      <c r="H27" s="683"/>
      <c r="I27" s="641"/>
      <c r="J27" s="641"/>
      <c r="K27" s="641"/>
      <c r="L27" s="689"/>
    </row>
    <row r="28" spans="1:12" ht="12" hidden="1" customHeight="1">
      <c r="A28" s="402"/>
      <c r="B28" s="402"/>
      <c r="E28" s="402"/>
      <c r="F28" s="402"/>
      <c r="G28" s="402"/>
      <c r="H28" s="402"/>
    </row>
    <row r="29" spans="1:12" ht="15.6">
      <c r="A29" s="348" t="s">
        <v>145</v>
      </c>
      <c r="B29" s="349"/>
      <c r="C29" s="103" t="s">
        <v>146</v>
      </c>
      <c r="D29" s="349" t="s">
        <v>147</v>
      </c>
      <c r="E29" s="349"/>
      <c r="F29" s="349"/>
      <c r="G29" s="349" t="s">
        <v>176</v>
      </c>
      <c r="H29" s="665"/>
      <c r="I29" s="393" t="s">
        <v>149</v>
      </c>
      <c r="J29" s="393"/>
      <c r="K29" s="393"/>
      <c r="L29" s="666"/>
    </row>
    <row r="30" spans="1:12" ht="19.95" customHeight="1">
      <c r="A30" s="669" t="s">
        <v>151</v>
      </c>
      <c r="B30" s="436"/>
      <c r="C30" s="104"/>
      <c r="D30" s="644"/>
      <c r="E30" s="644"/>
      <c r="F30" s="644"/>
      <c r="G30" s="644"/>
      <c r="H30" s="663"/>
      <c r="I30" s="639"/>
      <c r="J30" s="639"/>
      <c r="K30" s="639"/>
      <c r="L30" s="664"/>
    </row>
    <row r="31" spans="1:12" ht="19.95" customHeight="1">
      <c r="A31" s="670"/>
      <c r="B31" s="671"/>
      <c r="C31" s="104"/>
      <c r="D31" s="644"/>
      <c r="E31" s="644"/>
      <c r="F31" s="644"/>
      <c r="G31" s="644"/>
      <c r="H31" s="663"/>
      <c r="I31" s="639"/>
      <c r="J31" s="639"/>
      <c r="K31" s="639"/>
      <c r="L31" s="664"/>
    </row>
    <row r="32" spans="1:12" ht="19.95" customHeight="1">
      <c r="A32" s="670"/>
      <c r="B32" s="671"/>
      <c r="C32" s="104"/>
      <c r="D32" s="644"/>
      <c r="E32" s="644"/>
      <c r="F32" s="644"/>
      <c r="G32" s="644"/>
      <c r="H32" s="663"/>
      <c r="I32" s="639"/>
      <c r="J32" s="639"/>
      <c r="K32" s="639"/>
      <c r="L32" s="664"/>
    </row>
    <row r="33" spans="1:12" ht="19.95" customHeight="1">
      <c r="A33" s="670"/>
      <c r="B33" s="671"/>
      <c r="C33" s="104"/>
      <c r="D33" s="644"/>
      <c r="E33" s="644"/>
      <c r="F33" s="644"/>
      <c r="G33" s="644"/>
      <c r="H33" s="663"/>
      <c r="I33" s="639"/>
      <c r="J33" s="639"/>
      <c r="K33" s="639"/>
      <c r="L33" s="664"/>
    </row>
    <row r="34" spans="1:12" ht="19.95" customHeight="1">
      <c r="A34" s="672"/>
      <c r="B34" s="673"/>
      <c r="C34" s="106"/>
      <c r="D34" s="667"/>
      <c r="E34" s="667"/>
      <c r="F34" s="667"/>
      <c r="G34" s="667"/>
      <c r="H34" s="668"/>
      <c r="I34" s="680"/>
      <c r="J34" s="681"/>
      <c r="K34" s="681"/>
      <c r="L34" s="682"/>
    </row>
    <row r="35" spans="1:12" ht="19.95" customHeight="1">
      <c r="A35" s="684" t="s">
        <v>152</v>
      </c>
      <c r="B35" s="685"/>
      <c r="C35" s="685"/>
      <c r="D35" s="685"/>
      <c r="E35" s="685"/>
      <c r="F35" s="685"/>
      <c r="G35" s="685"/>
      <c r="H35" s="685"/>
      <c r="I35" s="686"/>
      <c r="J35" s="687"/>
      <c r="K35" s="687"/>
      <c r="L35" s="688"/>
    </row>
    <row r="36" spans="1:12" ht="12" customHeight="1">
      <c r="A36" s="402"/>
      <c r="B36" s="402"/>
      <c r="D36" s="578"/>
      <c r="E36" s="578"/>
      <c r="F36" s="578"/>
      <c r="G36" s="578"/>
      <c r="H36" s="584"/>
      <c r="I36" s="339"/>
      <c r="J36" s="339"/>
      <c r="K36" s="339"/>
      <c r="L36" s="339"/>
    </row>
    <row r="37" spans="1:12">
      <c r="A37" s="595" t="s">
        <v>149</v>
      </c>
      <c r="B37" s="596"/>
      <c r="C37" s="596"/>
      <c r="D37" s="596"/>
      <c r="E37" s="596"/>
      <c r="F37" s="596"/>
      <c r="G37" s="606"/>
      <c r="H37" s="107"/>
      <c r="I37" s="351" t="s">
        <v>153</v>
      </c>
      <c r="J37" s="349"/>
      <c r="K37" s="352" t="s">
        <v>154</v>
      </c>
      <c r="L37" s="350"/>
    </row>
    <row r="38" spans="1:12" ht="16.05" customHeight="1">
      <c r="A38" s="612"/>
      <c r="B38" s="578"/>
      <c r="C38" s="578"/>
      <c r="D38" s="578"/>
      <c r="E38" s="578"/>
      <c r="F38" s="578"/>
      <c r="G38" s="649"/>
      <c r="H38" s="107"/>
      <c r="I38" s="643"/>
      <c r="J38" s="644"/>
      <c r="K38" s="644"/>
      <c r="L38" s="645"/>
    </row>
    <row r="39" spans="1:12" ht="19.05" customHeight="1">
      <c r="A39" s="674"/>
      <c r="B39" s="675"/>
      <c r="C39" s="675"/>
      <c r="D39" s="675"/>
      <c r="E39" s="675"/>
      <c r="F39" s="675"/>
      <c r="G39" s="676"/>
      <c r="I39" s="370"/>
      <c r="J39" s="371"/>
      <c r="K39" s="371"/>
      <c r="L39" s="646"/>
    </row>
    <row r="40" spans="1:12" ht="19.05" customHeight="1">
      <c r="A40" s="677"/>
      <c r="B40" s="678"/>
      <c r="C40" s="678"/>
      <c r="D40" s="678"/>
      <c r="E40" s="678"/>
      <c r="F40" s="678"/>
      <c r="G40" s="679"/>
      <c r="I40" s="370"/>
      <c r="J40" s="371"/>
      <c r="K40" s="371"/>
      <c r="L40" s="646"/>
    </row>
    <row r="41" spans="1:12" ht="19.05" customHeight="1">
      <c r="A41" s="266"/>
      <c r="B41" s="267"/>
      <c r="C41" s="267"/>
      <c r="D41" s="267"/>
      <c r="E41" s="267"/>
      <c r="F41" s="267"/>
      <c r="G41" s="268"/>
      <c r="I41" s="405"/>
      <c r="J41" s="439"/>
      <c r="K41" s="439"/>
      <c r="L41" s="658"/>
    </row>
    <row r="42" spans="1:12" ht="16.05" customHeight="1"/>
    <row r="43" spans="1:12" ht="16.05" customHeight="1"/>
    <row r="44" spans="1:12" ht="16.05" customHeight="1"/>
    <row r="45" spans="1:12">
      <c r="H45" s="94"/>
    </row>
  </sheetData>
  <mergeCells count="101">
    <mergeCell ref="I27:L27"/>
    <mergeCell ref="A28:B28"/>
    <mergeCell ref="E28:F28"/>
    <mergeCell ref="G28:H28"/>
    <mergeCell ref="D25:F25"/>
    <mergeCell ref="G25:H25"/>
    <mergeCell ref="I25:L25"/>
    <mergeCell ref="A29:B29"/>
    <mergeCell ref="D29:F29"/>
    <mergeCell ref="G29:H29"/>
    <mergeCell ref="I29:L29"/>
    <mergeCell ref="D26:F26"/>
    <mergeCell ref="G26:H26"/>
    <mergeCell ref="I26:L26"/>
    <mergeCell ref="D30:F30"/>
    <mergeCell ref="G30:H30"/>
    <mergeCell ref="I30:L30"/>
    <mergeCell ref="D27:F27"/>
    <mergeCell ref="K39:L41"/>
    <mergeCell ref="A23:B27"/>
    <mergeCell ref="A30:B34"/>
    <mergeCell ref="A37:G38"/>
    <mergeCell ref="I37:J38"/>
    <mergeCell ref="K37:L38"/>
    <mergeCell ref="A39:G39"/>
    <mergeCell ref="A40:G40"/>
    <mergeCell ref="I34:L34"/>
    <mergeCell ref="D31:F31"/>
    <mergeCell ref="G31:H31"/>
    <mergeCell ref="I31:L31"/>
    <mergeCell ref="D32:F32"/>
    <mergeCell ref="G32:H32"/>
    <mergeCell ref="I32:L32"/>
    <mergeCell ref="G27:H27"/>
    <mergeCell ref="I39:J41"/>
    <mergeCell ref="A35:F35"/>
    <mergeCell ref="G35:H35"/>
    <mergeCell ref="I35:L35"/>
    <mergeCell ref="A36:B36"/>
    <mergeCell ref="D36:F36"/>
    <mergeCell ref="G36:H36"/>
    <mergeCell ref="I36:L36"/>
    <mergeCell ref="D33:F33"/>
    <mergeCell ref="G33:H33"/>
    <mergeCell ref="I33:L33"/>
    <mergeCell ref="D34:F34"/>
    <mergeCell ref="G34:H34"/>
    <mergeCell ref="D24:F24"/>
    <mergeCell ref="G24:H24"/>
    <mergeCell ref="I24:L24"/>
    <mergeCell ref="A21:B21"/>
    <mergeCell ref="E21:F21"/>
    <mergeCell ref="G21:H21"/>
    <mergeCell ref="A22:B22"/>
    <mergeCell ref="D22:F22"/>
    <mergeCell ref="G22:H22"/>
    <mergeCell ref="I22:L22"/>
    <mergeCell ref="D23:F23"/>
    <mergeCell ref="G23:H23"/>
    <mergeCell ref="I23:L23"/>
    <mergeCell ref="I17:J20"/>
    <mergeCell ref="K17:L20"/>
    <mergeCell ref="A19:B19"/>
    <mergeCell ref="C19:E19"/>
    <mergeCell ref="F19:G19"/>
    <mergeCell ref="A20:B20"/>
    <mergeCell ref="C20:E20"/>
    <mergeCell ref="F20:G20"/>
    <mergeCell ref="H13:L13"/>
    <mergeCell ref="A17:B17"/>
    <mergeCell ref="C17:E17"/>
    <mergeCell ref="F17:G17"/>
    <mergeCell ref="A18:B18"/>
    <mergeCell ref="C18:E18"/>
    <mergeCell ref="F18:G18"/>
    <mergeCell ref="A15:G15"/>
    <mergeCell ref="I15:L15"/>
    <mergeCell ref="A16:B16"/>
    <mergeCell ref="C16:G16"/>
    <mergeCell ref="A1:B3"/>
    <mergeCell ref="C1:I3"/>
    <mergeCell ref="J1:L1"/>
    <mergeCell ref="J2:L2"/>
    <mergeCell ref="J3:L3"/>
    <mergeCell ref="C5:D5"/>
    <mergeCell ref="C6:D6"/>
    <mergeCell ref="C8:H8"/>
    <mergeCell ref="I16:J16"/>
    <mergeCell ref="K16:L16"/>
    <mergeCell ref="C7:H7"/>
    <mergeCell ref="A10:B10"/>
    <mergeCell ref="C10:G10"/>
    <mergeCell ref="H10:L10"/>
    <mergeCell ref="A11:B11"/>
    <mergeCell ref="C11:G11"/>
    <mergeCell ref="H11:L11"/>
    <mergeCell ref="A12:B12"/>
    <mergeCell ref="C12:G12"/>
    <mergeCell ref="H12:L12"/>
    <mergeCell ref="A13:B13"/>
    <mergeCell ref="C13:G13"/>
  </mergeCells>
  <pageMargins left="0.25" right="0.25" top="0.75" bottom="0.75" header="0.3" footer="0.3"/>
  <pageSetup paperSize="9" scale="93" fitToHeight="0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00"/>
    <pageSetUpPr fitToPage="1"/>
  </sheetPr>
  <dimension ref="A1:N45"/>
  <sheetViews>
    <sheetView showGridLines="0" view="pageBreakPreview" zoomScaleNormal="100" workbookViewId="0">
      <selection activeCell="M9" sqref="M9:N9"/>
    </sheetView>
  </sheetViews>
  <sheetFormatPr defaultColWidth="9" defaultRowHeight="13.8"/>
  <cols>
    <col min="1" max="1" width="3.5546875" style="91" customWidth="1"/>
    <col min="2" max="2" width="11.77734375" style="91" customWidth="1"/>
    <col min="3" max="3" width="15.109375" style="91" customWidth="1"/>
    <col min="4" max="4" width="7.88671875" style="91" customWidth="1"/>
    <col min="5" max="5" width="5" style="91" customWidth="1"/>
    <col min="6" max="6" width="7.109375" style="91" customWidth="1"/>
    <col min="7" max="7" width="12.21875" style="91" customWidth="1"/>
    <col min="8" max="8" width="2.44140625" style="91" customWidth="1"/>
    <col min="9" max="9" width="13.21875" style="91" customWidth="1"/>
    <col min="10" max="10" width="7.33203125" style="91" customWidth="1"/>
    <col min="11" max="11" width="9.88671875" style="91" customWidth="1"/>
    <col min="12" max="12" width="9.44140625" style="91" customWidth="1"/>
    <col min="13" max="13" width="9" style="91"/>
    <col min="14" max="14" width="16.21875" style="91" customWidth="1"/>
    <col min="15" max="15" width="29" style="91" customWidth="1"/>
    <col min="16" max="16" width="9.77734375" style="91" customWidth="1"/>
    <col min="17" max="16384" width="9" style="91"/>
  </cols>
  <sheetData>
    <row r="1" spans="1:14" ht="16.2" customHeight="1">
      <c r="A1" s="636"/>
      <c r="B1" s="637"/>
      <c r="C1" s="352" t="s">
        <v>112</v>
      </c>
      <c r="D1" s="352"/>
      <c r="E1" s="352"/>
      <c r="F1" s="352"/>
      <c r="G1" s="352"/>
      <c r="H1" s="352"/>
      <c r="I1" s="352"/>
      <c r="J1" s="342" t="s">
        <v>113</v>
      </c>
      <c r="K1" s="343"/>
      <c r="L1" s="344"/>
    </row>
    <row r="2" spans="1:14" ht="16.2" customHeight="1">
      <c r="A2" s="638"/>
      <c r="B2" s="639"/>
      <c r="C2" s="355"/>
      <c r="D2" s="355"/>
      <c r="E2" s="355"/>
      <c r="F2" s="355"/>
      <c r="G2" s="355"/>
      <c r="H2" s="355"/>
      <c r="I2" s="355"/>
      <c r="J2" s="374" t="s">
        <v>114</v>
      </c>
      <c r="K2" s="375"/>
      <c r="L2" s="376"/>
      <c r="N2" s="91" t="str">
        <f>[1]In!J5</f>
        <v>SX2311007</v>
      </c>
    </row>
    <row r="3" spans="1:14" ht="16.2" customHeight="1">
      <c r="A3" s="640"/>
      <c r="B3" s="641"/>
      <c r="C3" s="358"/>
      <c r="D3" s="358"/>
      <c r="E3" s="358"/>
      <c r="F3" s="358"/>
      <c r="G3" s="358"/>
      <c r="H3" s="358"/>
      <c r="I3" s="358"/>
      <c r="J3" s="381" t="s">
        <v>165</v>
      </c>
      <c r="K3" s="382"/>
      <c r="L3" s="383"/>
    </row>
    <row r="4" spans="1:14" ht="15" customHeight="1">
      <c r="A4" s="107"/>
    </row>
    <row r="5" spans="1:14" ht="15" customHeight="1">
      <c r="A5" s="92" t="s">
        <v>116</v>
      </c>
      <c r="C5" s="575" t="str">
        <f>In!C8</f>
        <v>26BA2HKH00563000029</v>
      </c>
      <c r="D5" s="575"/>
      <c r="E5" s="93"/>
      <c r="F5" s="93"/>
      <c r="G5" s="93"/>
      <c r="H5" s="93"/>
      <c r="I5" s="92" t="s">
        <v>3</v>
      </c>
      <c r="J5" s="94" t="str">
        <f>In!C9</f>
        <v>SX2607045</v>
      </c>
    </row>
    <row r="6" spans="1:14" ht="15" customHeight="1">
      <c r="A6" s="92" t="s">
        <v>117</v>
      </c>
      <c r="C6" s="642" t="str">
        <f>In!C7</f>
        <v>BT1KH00563KP0004</v>
      </c>
      <c r="D6" s="642"/>
      <c r="E6" s="95"/>
      <c r="F6" s="95"/>
      <c r="G6" s="95"/>
      <c r="H6" s="93"/>
      <c r="I6" s="92" t="s">
        <v>118</v>
      </c>
      <c r="J6" s="96" t="s">
        <v>172</v>
      </c>
    </row>
    <row r="7" spans="1:14" ht="15" customHeight="1">
      <c r="A7" s="92" t="s">
        <v>120</v>
      </c>
      <c r="C7" s="575" t="str">
        <f>In!C6</f>
        <v>Bao giấy 25kg AM-20 Tân Châu</v>
      </c>
      <c r="D7" s="575"/>
      <c r="E7" s="575"/>
      <c r="F7" s="575"/>
      <c r="G7" s="575"/>
      <c r="H7" s="575"/>
      <c r="I7" s="92" t="s">
        <v>121</v>
      </c>
      <c r="J7" s="96" t="s">
        <v>387</v>
      </c>
    </row>
    <row r="8" spans="1:14" ht="32.4" customHeight="1">
      <c r="A8" s="92" t="s">
        <v>123</v>
      </c>
      <c r="B8" s="94"/>
      <c r="C8" s="575" t="str">
        <f>In!C5</f>
        <v xml:space="preserve">NHÀ MÁY SX TINH BỘT SẮN TÂN CHÂU-CN CÔNG TY CPNS THỰC PHẨM QUẢNG NGÃI					</v>
      </c>
      <c r="D8" s="575"/>
      <c r="E8" s="575"/>
      <c r="F8" s="575"/>
      <c r="G8" s="575"/>
      <c r="H8" s="575"/>
      <c r="I8" s="92" t="s">
        <v>124</v>
      </c>
      <c r="J8" s="96" t="s">
        <v>387</v>
      </c>
    </row>
    <row r="9" spans="1:14" ht="15" customHeight="1">
      <c r="A9" s="92"/>
      <c r="B9" s="94"/>
      <c r="C9" s="94"/>
      <c r="D9" s="94"/>
      <c r="E9" s="94"/>
      <c r="F9" s="94"/>
      <c r="G9" s="94"/>
      <c r="I9" s="94"/>
    </row>
    <row r="10" spans="1:14" ht="15" customHeight="1">
      <c r="A10" s="345"/>
      <c r="B10" s="346"/>
      <c r="C10" s="349" t="s">
        <v>125</v>
      </c>
      <c r="D10" s="349"/>
      <c r="E10" s="349"/>
      <c r="F10" s="349"/>
      <c r="G10" s="349"/>
      <c r="H10" s="349" t="s">
        <v>126</v>
      </c>
      <c r="I10" s="349"/>
      <c r="J10" s="349"/>
      <c r="K10" s="349"/>
      <c r="L10" s="350"/>
    </row>
    <row r="11" spans="1:14" ht="15" customHeight="1">
      <c r="A11" s="440" t="s">
        <v>127</v>
      </c>
      <c r="B11" s="441"/>
      <c r="C11" s="371" t="s">
        <v>358</v>
      </c>
      <c r="D11" s="371"/>
      <c r="E11" s="371"/>
      <c r="F11" s="371"/>
      <c r="G11" s="371"/>
      <c r="H11" s="371" t="s">
        <v>358</v>
      </c>
      <c r="I11" s="371"/>
      <c r="J11" s="371"/>
      <c r="K11" s="371"/>
      <c r="L11" s="646"/>
    </row>
    <row r="12" spans="1:14" ht="15" customHeight="1">
      <c r="A12" s="440" t="s">
        <v>129</v>
      </c>
      <c r="B12" s="441"/>
      <c r="C12" s="371" t="s">
        <v>130</v>
      </c>
      <c r="D12" s="371"/>
      <c r="E12" s="371"/>
      <c r="F12" s="371"/>
      <c r="G12" s="371"/>
      <c r="H12" s="371" t="s">
        <v>357</v>
      </c>
      <c r="I12" s="371"/>
      <c r="J12" s="371"/>
      <c r="K12" s="371"/>
      <c r="L12" s="646"/>
    </row>
    <row r="13" spans="1:14" ht="15" customHeight="1">
      <c r="A13" s="448" t="s">
        <v>132</v>
      </c>
      <c r="B13" s="449"/>
      <c r="C13" s="439"/>
      <c r="D13" s="439"/>
      <c r="E13" s="439"/>
      <c r="F13" s="439"/>
      <c r="G13" s="439"/>
      <c r="H13" s="659"/>
      <c r="I13" s="659"/>
      <c r="J13" s="659"/>
      <c r="K13" s="659"/>
      <c r="L13" s="429"/>
    </row>
    <row r="14" spans="1:14" ht="12" customHeight="1">
      <c r="A14" s="94"/>
      <c r="B14" s="94"/>
      <c r="C14" s="94"/>
      <c r="D14" s="94"/>
      <c r="E14" s="94"/>
      <c r="H14" s="94"/>
      <c r="J14" s="94"/>
    </row>
    <row r="15" spans="1:14" ht="19.05" customHeight="1">
      <c r="A15" s="660" t="s">
        <v>173</v>
      </c>
      <c r="B15" s="661"/>
      <c r="C15" s="661"/>
      <c r="D15" s="661"/>
      <c r="E15" s="661"/>
      <c r="F15" s="661"/>
      <c r="G15" s="662"/>
      <c r="I15" s="348" t="s">
        <v>134</v>
      </c>
      <c r="J15" s="349"/>
      <c r="K15" s="349"/>
      <c r="L15" s="350"/>
    </row>
    <row r="16" spans="1:14" ht="16.95" customHeight="1">
      <c r="A16" s="652" t="s">
        <v>135</v>
      </c>
      <c r="B16" s="653"/>
      <c r="C16" s="441" t="str">
        <f>'In 1'!C16</f>
        <v>Bao KP</v>
      </c>
      <c r="D16" s="441"/>
      <c r="E16" s="441"/>
      <c r="F16" s="441"/>
      <c r="G16" s="453"/>
      <c r="I16" s="643" t="s">
        <v>137</v>
      </c>
      <c r="J16" s="644"/>
      <c r="K16" s="644" t="s">
        <v>138</v>
      </c>
      <c r="L16" s="645"/>
    </row>
    <row r="17" spans="1:12" ht="16.95" customHeight="1">
      <c r="A17" s="652" t="s">
        <v>139</v>
      </c>
      <c r="B17" s="653"/>
      <c r="C17" s="654" t="str">
        <f>'In 1'!C17</f>
        <v>500 x 920</v>
      </c>
      <c r="D17" s="654"/>
      <c r="E17" s="654"/>
      <c r="F17" s="371" t="s">
        <v>140</v>
      </c>
      <c r="G17" s="646"/>
      <c r="I17" s="612"/>
      <c r="J17" s="613"/>
      <c r="K17" s="615"/>
      <c r="L17" s="649"/>
    </row>
    <row r="18" spans="1:12" ht="16.95" customHeight="1">
      <c r="A18" s="652" t="s">
        <v>141</v>
      </c>
      <c r="B18" s="653"/>
      <c r="C18" s="654" t="str">
        <f>'In 1'!C18</f>
        <v>500 x 920</v>
      </c>
      <c r="D18" s="654"/>
      <c r="E18" s="654"/>
      <c r="F18" s="371" t="s">
        <v>140</v>
      </c>
      <c r="G18" s="646"/>
      <c r="I18" s="612"/>
      <c r="J18" s="613"/>
      <c r="K18" s="615"/>
      <c r="L18" s="649"/>
    </row>
    <row r="19" spans="1:12" ht="16.95" customHeight="1">
      <c r="A19" s="652" t="s">
        <v>142</v>
      </c>
      <c r="B19" s="653"/>
      <c r="C19" s="654">
        <f>In!M6</f>
        <v>5000</v>
      </c>
      <c r="D19" s="654"/>
      <c r="E19" s="654"/>
      <c r="F19" s="371" t="s">
        <v>12</v>
      </c>
      <c r="G19" s="646"/>
      <c r="I19" s="612"/>
      <c r="J19" s="613"/>
      <c r="K19" s="615"/>
      <c r="L19" s="649"/>
    </row>
    <row r="20" spans="1:12" ht="16.95" customHeight="1">
      <c r="A20" s="655" t="s">
        <v>143</v>
      </c>
      <c r="B20" s="656"/>
      <c r="C20" s="657">
        <f>Thổi!G19</f>
        <v>205</v>
      </c>
      <c r="D20" s="657"/>
      <c r="E20" s="657"/>
      <c r="F20" s="439" t="s">
        <v>30</v>
      </c>
      <c r="G20" s="658"/>
      <c r="I20" s="647"/>
      <c r="J20" s="648"/>
      <c r="K20" s="650"/>
      <c r="L20" s="651"/>
    </row>
    <row r="21" spans="1:12" ht="12" customHeight="1">
      <c r="A21" s="402"/>
      <c r="B21" s="402"/>
      <c r="E21" s="402"/>
      <c r="F21" s="402"/>
      <c r="G21" s="402"/>
      <c r="H21" s="402"/>
    </row>
    <row r="22" spans="1:12" ht="15.6">
      <c r="A22" s="348" t="s">
        <v>145</v>
      </c>
      <c r="B22" s="349"/>
      <c r="C22" s="103" t="s">
        <v>146</v>
      </c>
      <c r="D22" s="349" t="s">
        <v>147</v>
      </c>
      <c r="E22" s="349"/>
      <c r="F22" s="349"/>
      <c r="G22" s="349" t="s">
        <v>174</v>
      </c>
      <c r="H22" s="665"/>
      <c r="I22" s="393" t="s">
        <v>149</v>
      </c>
      <c r="J22" s="393"/>
      <c r="K22" s="393"/>
      <c r="L22" s="666"/>
    </row>
    <row r="23" spans="1:12" ht="19.95" customHeight="1">
      <c r="A23" s="669" t="s">
        <v>150</v>
      </c>
      <c r="B23" s="436"/>
      <c r="C23" s="104"/>
      <c r="D23" s="644"/>
      <c r="E23" s="644"/>
      <c r="F23" s="644"/>
      <c r="G23" s="644"/>
      <c r="H23" s="663"/>
      <c r="I23" s="639"/>
      <c r="J23" s="639"/>
      <c r="K23" s="639"/>
      <c r="L23" s="664"/>
    </row>
    <row r="24" spans="1:12" ht="19.95" customHeight="1">
      <c r="A24" s="670"/>
      <c r="B24" s="671"/>
      <c r="C24" s="104"/>
      <c r="D24" s="644"/>
      <c r="E24" s="644"/>
      <c r="F24" s="644"/>
      <c r="G24" s="644"/>
      <c r="H24" s="663"/>
      <c r="I24" s="639"/>
      <c r="J24" s="639"/>
      <c r="K24" s="639"/>
      <c r="L24" s="664"/>
    </row>
    <row r="25" spans="1:12" ht="19.95" customHeight="1">
      <c r="A25" s="670"/>
      <c r="B25" s="671"/>
      <c r="C25" s="104"/>
      <c r="D25" s="644"/>
      <c r="E25" s="644"/>
      <c r="F25" s="644"/>
      <c r="G25" s="644"/>
      <c r="H25" s="663"/>
      <c r="I25" s="639"/>
      <c r="J25" s="639"/>
      <c r="K25" s="639"/>
      <c r="L25" s="664"/>
    </row>
    <row r="26" spans="1:12" ht="19.95" customHeight="1">
      <c r="A26" s="670"/>
      <c r="B26" s="671"/>
      <c r="C26" s="104"/>
      <c r="D26" s="644"/>
      <c r="E26" s="644"/>
      <c r="F26" s="644"/>
      <c r="G26" s="644"/>
      <c r="H26" s="663"/>
      <c r="I26" s="639"/>
      <c r="J26" s="639"/>
      <c r="K26" s="639"/>
      <c r="L26" s="664"/>
    </row>
    <row r="27" spans="1:12" ht="19.95" customHeight="1">
      <c r="A27" s="670"/>
      <c r="B27" s="671"/>
      <c r="C27" s="105"/>
      <c r="D27" s="659"/>
      <c r="E27" s="659"/>
      <c r="F27" s="659"/>
      <c r="G27" s="659"/>
      <c r="H27" s="683"/>
      <c r="I27" s="641"/>
      <c r="J27" s="641"/>
      <c r="K27" s="641"/>
      <c r="L27" s="689"/>
    </row>
    <row r="28" spans="1:12" ht="12" hidden="1" customHeight="1">
      <c r="A28" s="402"/>
      <c r="B28" s="402"/>
      <c r="E28" s="402"/>
      <c r="F28" s="402"/>
      <c r="G28" s="402"/>
      <c r="H28" s="402"/>
    </row>
    <row r="29" spans="1:12" ht="15.6">
      <c r="A29" s="348" t="s">
        <v>145</v>
      </c>
      <c r="B29" s="349"/>
      <c r="C29" s="103" t="s">
        <v>146</v>
      </c>
      <c r="D29" s="349" t="s">
        <v>147</v>
      </c>
      <c r="E29" s="349"/>
      <c r="F29" s="349"/>
      <c r="G29" s="349" t="s">
        <v>174</v>
      </c>
      <c r="H29" s="665"/>
      <c r="I29" s="393" t="s">
        <v>149</v>
      </c>
      <c r="J29" s="393"/>
      <c r="K29" s="393"/>
      <c r="L29" s="666"/>
    </row>
    <row r="30" spans="1:12" ht="19.95" customHeight="1">
      <c r="A30" s="669" t="s">
        <v>151</v>
      </c>
      <c r="B30" s="436"/>
      <c r="C30" s="104"/>
      <c r="D30" s="644"/>
      <c r="E30" s="644"/>
      <c r="F30" s="644"/>
      <c r="G30" s="644"/>
      <c r="H30" s="663"/>
      <c r="I30" s="639"/>
      <c r="J30" s="639"/>
      <c r="K30" s="639"/>
      <c r="L30" s="664"/>
    </row>
    <row r="31" spans="1:12" ht="19.95" customHeight="1">
      <c r="A31" s="670"/>
      <c r="B31" s="671"/>
      <c r="C31" s="104"/>
      <c r="D31" s="644"/>
      <c r="E31" s="644"/>
      <c r="F31" s="644"/>
      <c r="G31" s="644"/>
      <c r="H31" s="663"/>
      <c r="I31" s="639"/>
      <c r="J31" s="639"/>
      <c r="K31" s="639"/>
      <c r="L31" s="664"/>
    </row>
    <row r="32" spans="1:12" ht="19.95" customHeight="1">
      <c r="A32" s="670"/>
      <c r="B32" s="671"/>
      <c r="C32" s="104"/>
      <c r="D32" s="644"/>
      <c r="E32" s="644"/>
      <c r="F32" s="644"/>
      <c r="G32" s="644"/>
      <c r="H32" s="663"/>
      <c r="I32" s="639"/>
      <c r="J32" s="639"/>
      <c r="K32" s="639"/>
      <c r="L32" s="664"/>
    </row>
    <row r="33" spans="1:12" ht="19.95" customHeight="1">
      <c r="A33" s="670"/>
      <c r="B33" s="671"/>
      <c r="C33" s="104"/>
      <c r="D33" s="644"/>
      <c r="E33" s="644"/>
      <c r="F33" s="644"/>
      <c r="G33" s="644"/>
      <c r="H33" s="663"/>
      <c r="I33" s="639"/>
      <c r="J33" s="639"/>
      <c r="K33" s="639"/>
      <c r="L33" s="664"/>
    </row>
    <row r="34" spans="1:12" ht="19.95" customHeight="1">
      <c r="A34" s="672"/>
      <c r="B34" s="673"/>
      <c r="C34" s="106"/>
      <c r="D34" s="667"/>
      <c r="E34" s="667"/>
      <c r="F34" s="667"/>
      <c r="G34" s="667"/>
      <c r="H34" s="668"/>
      <c r="I34" s="680"/>
      <c r="J34" s="681"/>
      <c r="K34" s="681"/>
      <c r="L34" s="682"/>
    </row>
    <row r="35" spans="1:12" ht="19.95" customHeight="1">
      <c r="A35" s="684" t="s">
        <v>152</v>
      </c>
      <c r="B35" s="685"/>
      <c r="C35" s="685"/>
      <c r="D35" s="685"/>
      <c r="E35" s="685"/>
      <c r="F35" s="685"/>
      <c r="G35" s="685"/>
      <c r="H35" s="685"/>
      <c r="I35" s="686"/>
      <c r="J35" s="687"/>
      <c r="K35" s="687"/>
      <c r="L35" s="688"/>
    </row>
    <row r="36" spans="1:12" ht="12" customHeight="1">
      <c r="A36" s="402"/>
      <c r="B36" s="402"/>
      <c r="D36" s="578"/>
      <c r="E36" s="578"/>
      <c r="F36" s="578"/>
      <c r="G36" s="578"/>
      <c r="H36" s="584"/>
      <c r="I36" s="339"/>
      <c r="J36" s="339"/>
      <c r="K36" s="339"/>
      <c r="L36" s="339"/>
    </row>
    <row r="37" spans="1:12">
      <c r="A37" s="595" t="s">
        <v>149</v>
      </c>
      <c r="B37" s="596"/>
      <c r="C37" s="596"/>
      <c r="D37" s="596"/>
      <c r="E37" s="596"/>
      <c r="F37" s="596"/>
      <c r="G37" s="606"/>
      <c r="H37" s="107"/>
      <c r="I37" s="351" t="s">
        <v>153</v>
      </c>
      <c r="J37" s="349"/>
      <c r="K37" s="352" t="s">
        <v>154</v>
      </c>
      <c r="L37" s="350"/>
    </row>
    <row r="38" spans="1:12" ht="16.05" customHeight="1">
      <c r="A38" s="612"/>
      <c r="B38" s="578"/>
      <c r="C38" s="578"/>
      <c r="D38" s="578"/>
      <c r="E38" s="578"/>
      <c r="F38" s="578"/>
      <c r="G38" s="649"/>
      <c r="H38" s="107"/>
      <c r="I38" s="643"/>
      <c r="J38" s="644"/>
      <c r="K38" s="644"/>
      <c r="L38" s="645"/>
    </row>
    <row r="39" spans="1:12" ht="18" customHeight="1">
      <c r="A39" s="674"/>
      <c r="B39" s="675"/>
      <c r="C39" s="675"/>
      <c r="D39" s="675"/>
      <c r="E39" s="675"/>
      <c r="F39" s="675"/>
      <c r="G39" s="676"/>
      <c r="I39" s="370"/>
      <c r="J39" s="371"/>
      <c r="K39" s="371"/>
      <c r="L39" s="646"/>
    </row>
    <row r="40" spans="1:12" ht="18" customHeight="1">
      <c r="A40" s="677"/>
      <c r="B40" s="678"/>
      <c r="C40" s="678"/>
      <c r="D40" s="678"/>
      <c r="E40" s="678"/>
      <c r="F40" s="678"/>
      <c r="G40" s="679"/>
      <c r="I40" s="370"/>
      <c r="J40" s="371"/>
      <c r="K40" s="371"/>
      <c r="L40" s="646"/>
    </row>
    <row r="41" spans="1:12" ht="18" customHeight="1">
      <c r="A41" s="690"/>
      <c r="B41" s="691"/>
      <c r="C41" s="691"/>
      <c r="D41" s="691"/>
      <c r="E41" s="691"/>
      <c r="F41" s="691"/>
      <c r="G41" s="692"/>
      <c r="I41" s="405"/>
      <c r="J41" s="439"/>
      <c r="K41" s="439"/>
      <c r="L41" s="658"/>
    </row>
    <row r="42" spans="1:12" ht="16.05" customHeight="1"/>
    <row r="43" spans="1:12" ht="16.05" customHeight="1"/>
    <row r="44" spans="1:12" ht="16.05" customHeight="1"/>
    <row r="45" spans="1:12">
      <c r="H45" s="94"/>
    </row>
  </sheetData>
  <mergeCells count="102">
    <mergeCell ref="A36:B36"/>
    <mergeCell ref="D36:F36"/>
    <mergeCell ref="G36:H36"/>
    <mergeCell ref="I36:L36"/>
    <mergeCell ref="A39:G39"/>
    <mergeCell ref="A40:G40"/>
    <mergeCell ref="A41:G41"/>
    <mergeCell ref="A1:B3"/>
    <mergeCell ref="C1:I3"/>
    <mergeCell ref="I17:J20"/>
    <mergeCell ref="K17:L20"/>
    <mergeCell ref="A23:B27"/>
    <mergeCell ref="A30:B34"/>
    <mergeCell ref="A37:G38"/>
    <mergeCell ref="I37:J38"/>
    <mergeCell ref="K37:L38"/>
    <mergeCell ref="I39:J41"/>
    <mergeCell ref="K39:L41"/>
    <mergeCell ref="D33:F33"/>
    <mergeCell ref="G33:H33"/>
    <mergeCell ref="I33:L33"/>
    <mergeCell ref="D34:F34"/>
    <mergeCell ref="G34:H34"/>
    <mergeCell ref="I34:L34"/>
    <mergeCell ref="A35:F35"/>
    <mergeCell ref="G35:H35"/>
    <mergeCell ref="I35:L35"/>
    <mergeCell ref="D30:F30"/>
    <mergeCell ref="G30:H30"/>
    <mergeCell ref="I30:L30"/>
    <mergeCell ref="D31:F31"/>
    <mergeCell ref="G31:H31"/>
    <mergeCell ref="I31:L31"/>
    <mergeCell ref="D32:F32"/>
    <mergeCell ref="G32:H32"/>
    <mergeCell ref="I32:L32"/>
    <mergeCell ref="D27:F27"/>
    <mergeCell ref="G27:H27"/>
    <mergeCell ref="I27:L27"/>
    <mergeCell ref="A28:B28"/>
    <mergeCell ref="E28:F28"/>
    <mergeCell ref="G28:H28"/>
    <mergeCell ref="A29:B29"/>
    <mergeCell ref="D29:F29"/>
    <mergeCell ref="G29:H29"/>
    <mergeCell ref="I29:L29"/>
    <mergeCell ref="D24:F24"/>
    <mergeCell ref="G24:H24"/>
    <mergeCell ref="I24:L24"/>
    <mergeCell ref="D25:F25"/>
    <mergeCell ref="G25:H25"/>
    <mergeCell ref="I25:L25"/>
    <mergeCell ref="D26:F26"/>
    <mergeCell ref="G26:H26"/>
    <mergeCell ref="I26:L26"/>
    <mergeCell ref="A21:B21"/>
    <mergeCell ref="E21:F21"/>
    <mergeCell ref="G21:H21"/>
    <mergeCell ref="A22:B22"/>
    <mergeCell ref="D22:F22"/>
    <mergeCell ref="G22:H22"/>
    <mergeCell ref="I22:L22"/>
    <mergeCell ref="D23:F23"/>
    <mergeCell ref="G23:H23"/>
    <mergeCell ref="I23:L23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15:G15"/>
    <mergeCell ref="I15:L15"/>
    <mergeCell ref="A16:B16"/>
    <mergeCell ref="C16:G16"/>
    <mergeCell ref="I16:J16"/>
    <mergeCell ref="K16:L16"/>
    <mergeCell ref="A17:B17"/>
    <mergeCell ref="C17:E17"/>
    <mergeCell ref="F17:G17"/>
    <mergeCell ref="A11:B11"/>
    <mergeCell ref="C11:G11"/>
    <mergeCell ref="H11:L11"/>
    <mergeCell ref="A12:B12"/>
    <mergeCell ref="C12:G12"/>
    <mergeCell ref="H12:L12"/>
    <mergeCell ref="A13:B13"/>
    <mergeCell ref="C13:G13"/>
    <mergeCell ref="H13:L13"/>
    <mergeCell ref="J1:L1"/>
    <mergeCell ref="J2:L2"/>
    <mergeCell ref="J3:L3"/>
    <mergeCell ref="C5:D5"/>
    <mergeCell ref="C6:D6"/>
    <mergeCell ref="C7:H7"/>
    <mergeCell ref="A10:B10"/>
    <mergeCell ref="C10:G10"/>
    <mergeCell ref="H10:L10"/>
    <mergeCell ref="C8:H8"/>
  </mergeCells>
  <pageMargins left="0.25" right="0.25" top="0.75" bottom="0.75" header="0.3" footer="0.3"/>
  <pageSetup paperSize="9" scale="94" fitToHeight="0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FF00"/>
    <pageSetUpPr fitToPage="1"/>
  </sheetPr>
  <dimension ref="A1:N45"/>
  <sheetViews>
    <sheetView showGridLines="0" view="pageBreakPreview" zoomScaleNormal="100" workbookViewId="0">
      <selection activeCell="M9" sqref="M9:N9"/>
    </sheetView>
  </sheetViews>
  <sheetFormatPr defaultColWidth="9" defaultRowHeight="13.8"/>
  <cols>
    <col min="1" max="1" width="3.5546875" style="91" customWidth="1"/>
    <col min="2" max="2" width="11.77734375" style="91" customWidth="1"/>
    <col min="3" max="3" width="14.109375" style="91" customWidth="1"/>
    <col min="4" max="4" width="7.88671875" style="91" customWidth="1"/>
    <col min="5" max="5" width="6.77734375" style="91" customWidth="1"/>
    <col min="6" max="6" width="10.33203125" style="91" customWidth="1"/>
    <col min="7" max="7" width="12.21875" style="91" customWidth="1"/>
    <col min="8" max="8" width="1.88671875" style="91" customWidth="1"/>
    <col min="9" max="9" width="13.21875" style="91" customWidth="1"/>
    <col min="10" max="10" width="6.21875" style="91" customWidth="1"/>
    <col min="11" max="11" width="9.88671875" style="91" customWidth="1"/>
    <col min="12" max="12" width="7.5546875" style="91" customWidth="1"/>
    <col min="13" max="13" width="9" style="91"/>
    <col min="14" max="14" width="16.21875" style="91" customWidth="1"/>
    <col min="15" max="15" width="29" style="91" customWidth="1"/>
    <col min="16" max="16" width="9.77734375" style="91" customWidth="1"/>
    <col min="17" max="16384" width="9" style="91"/>
  </cols>
  <sheetData>
    <row r="1" spans="1:14" ht="16.2" customHeight="1">
      <c r="A1" s="636"/>
      <c r="B1" s="637"/>
      <c r="C1" s="352" t="s">
        <v>112</v>
      </c>
      <c r="D1" s="352"/>
      <c r="E1" s="352"/>
      <c r="F1" s="352"/>
      <c r="G1" s="352"/>
      <c r="H1" s="352"/>
      <c r="I1" s="352"/>
      <c r="J1" s="342" t="s">
        <v>113</v>
      </c>
      <c r="K1" s="343"/>
      <c r="L1" s="344"/>
    </row>
    <row r="2" spans="1:14" ht="16.2" customHeight="1">
      <c r="A2" s="638"/>
      <c r="B2" s="639"/>
      <c r="C2" s="355"/>
      <c r="D2" s="355"/>
      <c r="E2" s="355"/>
      <c r="F2" s="355"/>
      <c r="G2" s="355"/>
      <c r="H2" s="355"/>
      <c r="I2" s="355"/>
      <c r="J2" s="374" t="s">
        <v>114</v>
      </c>
      <c r="K2" s="375"/>
      <c r="L2" s="376"/>
      <c r="N2" s="91" t="str">
        <f>[1]In!J5</f>
        <v>SX2311007</v>
      </c>
    </row>
    <row r="3" spans="1:14" ht="16.2" customHeight="1">
      <c r="A3" s="640"/>
      <c r="B3" s="641"/>
      <c r="C3" s="358"/>
      <c r="D3" s="358"/>
      <c r="E3" s="358"/>
      <c r="F3" s="358"/>
      <c r="G3" s="358"/>
      <c r="H3" s="358"/>
      <c r="I3" s="358"/>
      <c r="J3" s="381" t="s">
        <v>165</v>
      </c>
      <c r="K3" s="382"/>
      <c r="L3" s="383"/>
    </row>
    <row r="4" spans="1:14" ht="15" customHeight="1">
      <c r="A4" s="107"/>
    </row>
    <row r="5" spans="1:14" ht="15" customHeight="1">
      <c r="A5" s="92" t="s">
        <v>116</v>
      </c>
      <c r="C5" s="575" t="str">
        <f>In!C8</f>
        <v>26BA2HKH00563000029</v>
      </c>
      <c r="D5" s="575"/>
      <c r="E5" s="93"/>
      <c r="F5" s="93"/>
      <c r="G5" s="93"/>
      <c r="H5" s="93"/>
      <c r="I5" s="92" t="s">
        <v>3</v>
      </c>
      <c r="J5" s="94" t="str">
        <f>In!C9</f>
        <v>SX2607045</v>
      </c>
    </row>
    <row r="6" spans="1:14" ht="15" customHeight="1">
      <c r="A6" s="92" t="s">
        <v>117</v>
      </c>
      <c r="C6" s="642" t="str">
        <f>In!C7</f>
        <v>BT1KH00563KP0004</v>
      </c>
      <c r="D6" s="642"/>
      <c r="E6" s="95"/>
      <c r="F6" s="95"/>
      <c r="G6" s="95"/>
      <c r="H6" s="93"/>
      <c r="I6" s="92" t="s">
        <v>118</v>
      </c>
      <c r="J6" s="96" t="s">
        <v>169</v>
      </c>
    </row>
    <row r="7" spans="1:14" ht="15" customHeight="1">
      <c r="A7" s="92" t="s">
        <v>120</v>
      </c>
      <c r="C7" s="575" t="str">
        <f>In!C6</f>
        <v>Bao giấy 25kg AM-20 Tân Châu</v>
      </c>
      <c r="D7" s="575"/>
      <c r="E7" s="575"/>
      <c r="F7" s="575"/>
      <c r="G7" s="575"/>
      <c r="H7" s="575"/>
      <c r="I7" s="92" t="s">
        <v>121</v>
      </c>
      <c r="J7" s="96" t="s">
        <v>387</v>
      </c>
    </row>
    <row r="8" spans="1:14" ht="32.4" customHeight="1">
      <c r="A8" s="92" t="s">
        <v>123</v>
      </c>
      <c r="B8" s="94"/>
      <c r="C8" s="575" t="str">
        <f>In!C5</f>
        <v xml:space="preserve">NHÀ MÁY SX TINH BỘT SẮN TÂN CHÂU-CN CÔNG TY CPNS THỰC PHẨM QUẢNG NGÃI					</v>
      </c>
      <c r="D8" s="575"/>
      <c r="E8" s="575"/>
      <c r="F8" s="575"/>
      <c r="G8" s="575"/>
      <c r="H8" s="575"/>
      <c r="I8" s="92" t="s">
        <v>124</v>
      </c>
      <c r="J8" s="96" t="s">
        <v>387</v>
      </c>
    </row>
    <row r="9" spans="1:14" ht="15" customHeight="1">
      <c r="A9" s="92"/>
      <c r="B9" s="94"/>
      <c r="C9" s="94"/>
      <c r="D9" s="94"/>
      <c r="E9" s="94"/>
      <c r="F9" s="94"/>
      <c r="G9" s="94"/>
      <c r="I9" s="94"/>
    </row>
    <row r="10" spans="1:14" ht="15" customHeight="1">
      <c r="A10" s="345"/>
      <c r="B10" s="346"/>
      <c r="C10" s="349" t="s">
        <v>125</v>
      </c>
      <c r="D10" s="349"/>
      <c r="E10" s="349"/>
      <c r="F10" s="349"/>
      <c r="G10" s="349"/>
      <c r="H10" s="349" t="s">
        <v>126</v>
      </c>
      <c r="I10" s="349"/>
      <c r="J10" s="349"/>
      <c r="K10" s="349"/>
      <c r="L10" s="350"/>
    </row>
    <row r="11" spans="1:14" ht="15" customHeight="1">
      <c r="A11" s="440" t="s">
        <v>127</v>
      </c>
      <c r="B11" s="441"/>
      <c r="C11" s="371" t="s">
        <v>358</v>
      </c>
      <c r="D11" s="371"/>
      <c r="E11" s="371"/>
      <c r="F11" s="371"/>
      <c r="G11" s="371"/>
      <c r="H11" s="371" t="s">
        <v>358</v>
      </c>
      <c r="I11" s="371"/>
      <c r="J11" s="371"/>
      <c r="K11" s="371"/>
      <c r="L11" s="646"/>
    </row>
    <row r="12" spans="1:14" ht="15" customHeight="1">
      <c r="A12" s="440" t="s">
        <v>129</v>
      </c>
      <c r="B12" s="441"/>
      <c r="C12" s="371" t="s">
        <v>130</v>
      </c>
      <c r="D12" s="371"/>
      <c r="E12" s="371"/>
      <c r="F12" s="371"/>
      <c r="G12" s="371"/>
      <c r="H12" s="371" t="s">
        <v>357</v>
      </c>
      <c r="I12" s="371"/>
      <c r="J12" s="371"/>
      <c r="K12" s="371"/>
      <c r="L12" s="646"/>
    </row>
    <row r="13" spans="1:14" ht="15" customHeight="1">
      <c r="A13" s="448" t="s">
        <v>132</v>
      </c>
      <c r="B13" s="449"/>
      <c r="C13" s="439"/>
      <c r="D13" s="439"/>
      <c r="E13" s="439"/>
      <c r="F13" s="439"/>
      <c r="G13" s="439"/>
      <c r="H13" s="659"/>
      <c r="I13" s="659"/>
      <c r="J13" s="659"/>
      <c r="K13" s="659"/>
      <c r="L13" s="429"/>
    </row>
    <row r="14" spans="1:14" ht="12" customHeight="1">
      <c r="A14" s="94"/>
      <c r="B14" s="94"/>
      <c r="C14" s="94"/>
      <c r="D14" s="94"/>
      <c r="E14" s="94"/>
      <c r="H14" s="94"/>
      <c r="J14" s="94"/>
    </row>
    <row r="15" spans="1:14" ht="19.05" customHeight="1">
      <c r="A15" s="660" t="s">
        <v>171</v>
      </c>
      <c r="B15" s="661"/>
      <c r="C15" s="661"/>
      <c r="D15" s="661"/>
      <c r="E15" s="661"/>
      <c r="F15" s="661"/>
      <c r="G15" s="662"/>
      <c r="I15" s="348" t="s">
        <v>134</v>
      </c>
      <c r="J15" s="349"/>
      <c r="K15" s="349"/>
      <c r="L15" s="350"/>
    </row>
    <row r="16" spans="1:14" ht="16.95" customHeight="1">
      <c r="A16" s="652" t="s">
        <v>135</v>
      </c>
      <c r="B16" s="653"/>
      <c r="C16" s="441" t="str">
        <f>'In 1'!C16</f>
        <v>Bao KP</v>
      </c>
      <c r="D16" s="441"/>
      <c r="E16" s="441"/>
      <c r="F16" s="441"/>
      <c r="G16" s="453"/>
      <c r="I16" s="643" t="s">
        <v>137</v>
      </c>
      <c r="J16" s="644"/>
      <c r="K16" s="644" t="s">
        <v>138</v>
      </c>
      <c r="L16" s="645"/>
    </row>
    <row r="17" spans="1:12" ht="16.95" customHeight="1">
      <c r="A17" s="652" t="s">
        <v>139</v>
      </c>
      <c r="B17" s="653"/>
      <c r="C17" s="654" t="str">
        <f>'In 1'!C17</f>
        <v>500 x 920</v>
      </c>
      <c r="D17" s="654"/>
      <c r="E17" s="654"/>
      <c r="F17" s="371" t="s">
        <v>140</v>
      </c>
      <c r="G17" s="646"/>
      <c r="I17" s="609"/>
      <c r="J17" s="611"/>
      <c r="K17" s="614"/>
      <c r="L17" s="693"/>
    </row>
    <row r="18" spans="1:12" ht="16.95" customHeight="1">
      <c r="A18" s="652" t="s">
        <v>141</v>
      </c>
      <c r="B18" s="653"/>
      <c r="C18" s="654" t="str">
        <f>'In 1'!C18</f>
        <v>500 x 920</v>
      </c>
      <c r="D18" s="654"/>
      <c r="E18" s="654"/>
      <c r="F18" s="371" t="s">
        <v>140</v>
      </c>
      <c r="G18" s="646"/>
      <c r="I18" s="612"/>
      <c r="J18" s="613"/>
      <c r="K18" s="615"/>
      <c r="L18" s="649"/>
    </row>
    <row r="19" spans="1:12" ht="16.95" customHeight="1">
      <c r="A19" s="652" t="s">
        <v>142</v>
      </c>
      <c r="B19" s="653"/>
      <c r="C19" s="654">
        <f>In!M6</f>
        <v>5000</v>
      </c>
      <c r="D19" s="654"/>
      <c r="E19" s="654"/>
      <c r="F19" s="371" t="s">
        <v>12</v>
      </c>
      <c r="G19" s="646"/>
      <c r="I19" s="612"/>
      <c r="J19" s="613"/>
      <c r="K19" s="615"/>
      <c r="L19" s="649"/>
    </row>
    <row r="20" spans="1:12" ht="16.95" customHeight="1">
      <c r="A20" s="655" t="s">
        <v>143</v>
      </c>
      <c r="B20" s="656"/>
      <c r="C20" s="657">
        <f>Tráng!M9</f>
        <v>4600</v>
      </c>
      <c r="D20" s="657"/>
      <c r="E20" s="657"/>
      <c r="F20" s="439" t="s">
        <v>144</v>
      </c>
      <c r="G20" s="658"/>
      <c r="I20" s="647"/>
      <c r="J20" s="648"/>
      <c r="K20" s="650"/>
      <c r="L20" s="651"/>
    </row>
    <row r="21" spans="1:12" ht="12" customHeight="1">
      <c r="A21" s="402"/>
      <c r="B21" s="402"/>
      <c r="E21" s="402"/>
      <c r="F21" s="402"/>
      <c r="G21" s="402"/>
      <c r="H21" s="402"/>
    </row>
    <row r="22" spans="1:12" ht="15.6">
      <c r="A22" s="348" t="s">
        <v>145</v>
      </c>
      <c r="B22" s="349"/>
      <c r="C22" s="103" t="s">
        <v>146</v>
      </c>
      <c r="D22" s="349" t="s">
        <v>147</v>
      </c>
      <c r="E22" s="349"/>
      <c r="F22" s="349"/>
      <c r="G22" s="349" t="s">
        <v>148</v>
      </c>
      <c r="H22" s="665"/>
      <c r="I22" s="393" t="s">
        <v>149</v>
      </c>
      <c r="J22" s="393"/>
      <c r="K22" s="393"/>
      <c r="L22" s="666"/>
    </row>
    <row r="23" spans="1:12" ht="19.95" customHeight="1">
      <c r="A23" s="669" t="s">
        <v>150</v>
      </c>
      <c r="B23" s="436"/>
      <c r="C23" s="104"/>
      <c r="D23" s="644"/>
      <c r="E23" s="644"/>
      <c r="F23" s="644"/>
      <c r="G23" s="644"/>
      <c r="H23" s="663"/>
      <c r="I23" s="639"/>
      <c r="J23" s="639"/>
      <c r="K23" s="639"/>
      <c r="L23" s="664"/>
    </row>
    <row r="24" spans="1:12" ht="19.95" customHeight="1">
      <c r="A24" s="670"/>
      <c r="B24" s="671"/>
      <c r="C24" s="104"/>
      <c r="D24" s="644"/>
      <c r="E24" s="644"/>
      <c r="F24" s="644"/>
      <c r="G24" s="644"/>
      <c r="H24" s="663"/>
      <c r="I24" s="639"/>
      <c r="J24" s="639"/>
      <c r="K24" s="639"/>
      <c r="L24" s="664"/>
    </row>
    <row r="25" spans="1:12" ht="19.95" customHeight="1">
      <c r="A25" s="670"/>
      <c r="B25" s="671"/>
      <c r="C25" s="104"/>
      <c r="D25" s="644"/>
      <c r="E25" s="644"/>
      <c r="F25" s="644"/>
      <c r="G25" s="644"/>
      <c r="H25" s="663"/>
      <c r="I25" s="639"/>
      <c r="J25" s="639"/>
      <c r="K25" s="639"/>
      <c r="L25" s="664"/>
    </row>
    <row r="26" spans="1:12" ht="19.95" customHeight="1">
      <c r="A26" s="670"/>
      <c r="B26" s="671"/>
      <c r="C26" s="104"/>
      <c r="D26" s="644"/>
      <c r="E26" s="644"/>
      <c r="F26" s="644"/>
      <c r="G26" s="644"/>
      <c r="H26" s="663"/>
      <c r="I26" s="639"/>
      <c r="J26" s="639"/>
      <c r="K26" s="639"/>
      <c r="L26" s="664"/>
    </row>
    <row r="27" spans="1:12" ht="19.95" customHeight="1">
      <c r="A27" s="670"/>
      <c r="B27" s="671"/>
      <c r="C27" s="105"/>
      <c r="D27" s="659"/>
      <c r="E27" s="659"/>
      <c r="F27" s="659"/>
      <c r="G27" s="659"/>
      <c r="H27" s="683"/>
      <c r="I27" s="641"/>
      <c r="J27" s="641"/>
      <c r="K27" s="641"/>
      <c r="L27" s="689"/>
    </row>
    <row r="28" spans="1:12" ht="12" hidden="1" customHeight="1">
      <c r="A28" s="402"/>
      <c r="B28" s="402"/>
      <c r="E28" s="402"/>
      <c r="F28" s="402"/>
      <c r="G28" s="402"/>
      <c r="H28" s="402"/>
    </row>
    <row r="29" spans="1:12" ht="15.6">
      <c r="A29" s="348" t="s">
        <v>145</v>
      </c>
      <c r="B29" s="349"/>
      <c r="C29" s="103" t="s">
        <v>146</v>
      </c>
      <c r="D29" s="349" t="s">
        <v>147</v>
      </c>
      <c r="E29" s="349"/>
      <c r="F29" s="349"/>
      <c r="G29" s="349" t="s">
        <v>148</v>
      </c>
      <c r="H29" s="665"/>
      <c r="I29" s="393" t="s">
        <v>149</v>
      </c>
      <c r="J29" s="393"/>
      <c r="K29" s="393"/>
      <c r="L29" s="666"/>
    </row>
    <row r="30" spans="1:12" ht="19.95" customHeight="1">
      <c r="A30" s="669" t="s">
        <v>151</v>
      </c>
      <c r="B30" s="436"/>
      <c r="C30" s="104"/>
      <c r="D30" s="644"/>
      <c r="E30" s="644"/>
      <c r="F30" s="644"/>
      <c r="G30" s="644"/>
      <c r="H30" s="663"/>
      <c r="I30" s="639"/>
      <c r="J30" s="639"/>
      <c r="K30" s="639"/>
      <c r="L30" s="664"/>
    </row>
    <row r="31" spans="1:12" ht="19.95" customHeight="1">
      <c r="A31" s="670"/>
      <c r="B31" s="671"/>
      <c r="C31" s="104"/>
      <c r="D31" s="644"/>
      <c r="E31" s="644"/>
      <c r="F31" s="644"/>
      <c r="G31" s="644"/>
      <c r="H31" s="663"/>
      <c r="I31" s="639"/>
      <c r="J31" s="639"/>
      <c r="K31" s="639"/>
      <c r="L31" s="664"/>
    </row>
    <row r="32" spans="1:12" ht="19.95" customHeight="1">
      <c r="A32" s="670"/>
      <c r="B32" s="671"/>
      <c r="C32" s="104"/>
      <c r="D32" s="644"/>
      <c r="E32" s="644"/>
      <c r="F32" s="644"/>
      <c r="G32" s="644"/>
      <c r="H32" s="663"/>
      <c r="I32" s="639"/>
      <c r="J32" s="639"/>
      <c r="K32" s="639"/>
      <c r="L32" s="664"/>
    </row>
    <row r="33" spans="1:12" ht="19.95" customHeight="1">
      <c r="A33" s="670"/>
      <c r="B33" s="671"/>
      <c r="C33" s="104"/>
      <c r="D33" s="644"/>
      <c r="E33" s="644"/>
      <c r="F33" s="644"/>
      <c r="G33" s="644"/>
      <c r="H33" s="663"/>
      <c r="I33" s="639"/>
      <c r="J33" s="639"/>
      <c r="K33" s="639"/>
      <c r="L33" s="664"/>
    </row>
    <row r="34" spans="1:12" ht="19.95" customHeight="1">
      <c r="A34" s="672"/>
      <c r="B34" s="673"/>
      <c r="C34" s="106"/>
      <c r="D34" s="667"/>
      <c r="E34" s="667"/>
      <c r="F34" s="667"/>
      <c r="G34" s="667"/>
      <c r="H34" s="668"/>
      <c r="I34" s="680"/>
      <c r="J34" s="681"/>
      <c r="K34" s="681"/>
      <c r="L34" s="682"/>
    </row>
    <row r="35" spans="1:12" ht="19.95" customHeight="1">
      <c r="A35" s="684" t="s">
        <v>152</v>
      </c>
      <c r="B35" s="685"/>
      <c r="C35" s="685"/>
      <c r="D35" s="685"/>
      <c r="E35" s="685"/>
      <c r="F35" s="685"/>
      <c r="G35" s="685"/>
      <c r="H35" s="685"/>
      <c r="I35" s="686"/>
      <c r="J35" s="687"/>
      <c r="K35" s="687"/>
      <c r="L35" s="688"/>
    </row>
    <row r="36" spans="1:12" ht="12" customHeight="1">
      <c r="A36" s="402"/>
      <c r="B36" s="402"/>
      <c r="D36" s="578"/>
      <c r="E36" s="578"/>
      <c r="F36" s="578"/>
      <c r="G36" s="578"/>
      <c r="H36" s="584"/>
      <c r="I36" s="339"/>
      <c r="J36" s="339"/>
      <c r="K36" s="339"/>
      <c r="L36" s="339"/>
    </row>
    <row r="37" spans="1:12">
      <c r="A37" s="595" t="s">
        <v>149</v>
      </c>
      <c r="B37" s="596"/>
      <c r="C37" s="596"/>
      <c r="D37" s="596"/>
      <c r="E37" s="596"/>
      <c r="F37" s="596"/>
      <c r="G37" s="606"/>
      <c r="H37" s="107"/>
      <c r="I37" s="351" t="s">
        <v>153</v>
      </c>
      <c r="J37" s="349"/>
      <c r="K37" s="352" t="s">
        <v>154</v>
      </c>
      <c r="L37" s="350"/>
    </row>
    <row r="38" spans="1:12" ht="16.05" customHeight="1">
      <c r="A38" s="612"/>
      <c r="B38" s="578"/>
      <c r="C38" s="578"/>
      <c r="D38" s="578"/>
      <c r="E38" s="578"/>
      <c r="F38" s="578"/>
      <c r="G38" s="649"/>
      <c r="H38" s="107"/>
      <c r="I38" s="643"/>
      <c r="J38" s="644"/>
      <c r="K38" s="644"/>
      <c r="L38" s="645"/>
    </row>
    <row r="39" spans="1:12" ht="19.05" customHeight="1">
      <c r="A39" s="674"/>
      <c r="B39" s="675"/>
      <c r="C39" s="675"/>
      <c r="D39" s="675"/>
      <c r="E39" s="675"/>
      <c r="F39" s="675"/>
      <c r="G39" s="676"/>
      <c r="I39" s="370"/>
      <c r="J39" s="371"/>
      <c r="K39" s="371"/>
      <c r="L39" s="646"/>
    </row>
    <row r="40" spans="1:12" ht="19.05" customHeight="1">
      <c r="A40" s="677"/>
      <c r="B40" s="678"/>
      <c r="C40" s="678"/>
      <c r="D40" s="678"/>
      <c r="E40" s="678"/>
      <c r="F40" s="678"/>
      <c r="G40" s="679"/>
      <c r="I40" s="370"/>
      <c r="J40" s="371"/>
      <c r="K40" s="371"/>
      <c r="L40" s="646"/>
    </row>
    <row r="41" spans="1:12" ht="19.05" customHeight="1">
      <c r="A41" s="266"/>
      <c r="B41" s="267"/>
      <c r="C41" s="267"/>
      <c r="D41" s="267"/>
      <c r="E41" s="267"/>
      <c r="F41" s="267"/>
      <c r="G41" s="268"/>
      <c r="I41" s="405"/>
      <c r="J41" s="439"/>
      <c r="K41" s="439"/>
      <c r="L41" s="658"/>
    </row>
    <row r="42" spans="1:12" ht="16.05" customHeight="1"/>
    <row r="43" spans="1:12" ht="16.05" customHeight="1"/>
    <row r="44" spans="1:12" ht="16.05" customHeight="1"/>
    <row r="45" spans="1:12">
      <c r="H45" s="94"/>
    </row>
  </sheetData>
  <mergeCells count="101">
    <mergeCell ref="I27:L27"/>
    <mergeCell ref="A28:B28"/>
    <mergeCell ref="E28:F28"/>
    <mergeCell ref="G28:H28"/>
    <mergeCell ref="D25:F25"/>
    <mergeCell ref="G25:H25"/>
    <mergeCell ref="I25:L25"/>
    <mergeCell ref="A29:B29"/>
    <mergeCell ref="D29:F29"/>
    <mergeCell ref="G29:H29"/>
    <mergeCell ref="I29:L29"/>
    <mergeCell ref="D26:F26"/>
    <mergeCell ref="G26:H26"/>
    <mergeCell ref="I26:L26"/>
    <mergeCell ref="D30:F30"/>
    <mergeCell ref="G30:H30"/>
    <mergeCell ref="I30:L30"/>
    <mergeCell ref="D27:F27"/>
    <mergeCell ref="K39:L41"/>
    <mergeCell ref="A23:B27"/>
    <mergeCell ref="A30:B34"/>
    <mergeCell ref="A37:G38"/>
    <mergeCell ref="I37:J38"/>
    <mergeCell ref="K37:L38"/>
    <mergeCell ref="A39:G39"/>
    <mergeCell ref="A40:G40"/>
    <mergeCell ref="I34:L34"/>
    <mergeCell ref="D31:F31"/>
    <mergeCell ref="G31:H31"/>
    <mergeCell ref="I31:L31"/>
    <mergeCell ref="D32:F32"/>
    <mergeCell ref="G32:H32"/>
    <mergeCell ref="I32:L32"/>
    <mergeCell ref="G27:H27"/>
    <mergeCell ref="I39:J41"/>
    <mergeCell ref="A35:F35"/>
    <mergeCell ref="G35:H35"/>
    <mergeCell ref="I35:L35"/>
    <mergeCell ref="A36:B36"/>
    <mergeCell ref="D36:F36"/>
    <mergeCell ref="G36:H36"/>
    <mergeCell ref="I36:L36"/>
    <mergeCell ref="D33:F33"/>
    <mergeCell ref="G33:H33"/>
    <mergeCell ref="I33:L33"/>
    <mergeCell ref="D34:F34"/>
    <mergeCell ref="G34:H34"/>
    <mergeCell ref="D24:F24"/>
    <mergeCell ref="G24:H24"/>
    <mergeCell ref="I24:L24"/>
    <mergeCell ref="A21:B21"/>
    <mergeCell ref="E21:F21"/>
    <mergeCell ref="G21:H21"/>
    <mergeCell ref="A22:B22"/>
    <mergeCell ref="D22:F22"/>
    <mergeCell ref="G22:H22"/>
    <mergeCell ref="I22:L22"/>
    <mergeCell ref="D23:F23"/>
    <mergeCell ref="G23:H23"/>
    <mergeCell ref="I23:L23"/>
    <mergeCell ref="I17:J20"/>
    <mergeCell ref="K17:L20"/>
    <mergeCell ref="A19:B19"/>
    <mergeCell ref="C19:E19"/>
    <mergeCell ref="F19:G19"/>
    <mergeCell ref="A20:B20"/>
    <mergeCell ref="C20:E20"/>
    <mergeCell ref="F20:G20"/>
    <mergeCell ref="H13:L13"/>
    <mergeCell ref="A17:B17"/>
    <mergeCell ref="C17:E17"/>
    <mergeCell ref="F17:G17"/>
    <mergeCell ref="A18:B18"/>
    <mergeCell ref="C18:E18"/>
    <mergeCell ref="F18:G18"/>
    <mergeCell ref="A15:G15"/>
    <mergeCell ref="I15:L15"/>
    <mergeCell ref="A16:B16"/>
    <mergeCell ref="C16:G16"/>
    <mergeCell ref="A1:B3"/>
    <mergeCell ref="C1:I3"/>
    <mergeCell ref="J1:L1"/>
    <mergeCell ref="J2:L2"/>
    <mergeCell ref="J3:L3"/>
    <mergeCell ref="C5:D5"/>
    <mergeCell ref="C6:D6"/>
    <mergeCell ref="C8:H8"/>
    <mergeCell ref="I16:J16"/>
    <mergeCell ref="K16:L16"/>
    <mergeCell ref="C7:H7"/>
    <mergeCell ref="A10:B10"/>
    <mergeCell ref="C10:G10"/>
    <mergeCell ref="H10:L10"/>
    <mergeCell ref="A11:B11"/>
    <mergeCell ref="C11:G11"/>
    <mergeCell ref="H11:L11"/>
    <mergeCell ref="A12:B12"/>
    <mergeCell ref="C12:G12"/>
    <mergeCell ref="H12:L12"/>
    <mergeCell ref="A13:B13"/>
    <mergeCell ref="C13:G13"/>
  </mergeCells>
  <pageMargins left="0.25" right="0.25" top="0.75" bottom="0.75" header="0.3" footer="0.3"/>
  <pageSetup paperSize="9" scale="93" fitToHeight="0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FF00"/>
    <pageSetUpPr fitToPage="1"/>
  </sheetPr>
  <dimension ref="A1:N45"/>
  <sheetViews>
    <sheetView showGridLines="0" view="pageBreakPreview" zoomScaleNormal="100" workbookViewId="0">
      <selection activeCell="M9" sqref="M9:N9"/>
    </sheetView>
  </sheetViews>
  <sheetFormatPr defaultColWidth="9" defaultRowHeight="13.8"/>
  <cols>
    <col min="1" max="1" width="3.5546875" style="91" customWidth="1"/>
    <col min="2" max="2" width="11.77734375" style="91" customWidth="1"/>
    <col min="3" max="3" width="14.109375" style="91" customWidth="1"/>
    <col min="4" max="4" width="7.88671875" style="91" customWidth="1"/>
    <col min="5" max="5" width="6.77734375" style="91" customWidth="1"/>
    <col min="6" max="6" width="10.33203125" style="91" customWidth="1"/>
    <col min="7" max="7" width="12.21875" style="91" customWidth="1"/>
    <col min="8" max="8" width="1.88671875" style="91" customWidth="1"/>
    <col min="9" max="9" width="13.21875" style="91" customWidth="1"/>
    <col min="10" max="10" width="6.21875" style="91" customWidth="1"/>
    <col min="11" max="11" width="9.88671875" style="91" customWidth="1"/>
    <col min="12" max="12" width="7.5546875" style="91" customWidth="1"/>
    <col min="13" max="13" width="9" style="91"/>
    <col min="14" max="14" width="16.21875" style="91" customWidth="1"/>
    <col min="15" max="15" width="29" style="91" customWidth="1"/>
    <col min="16" max="16" width="9.77734375" style="91" customWidth="1"/>
    <col min="17" max="16384" width="9" style="91"/>
  </cols>
  <sheetData>
    <row r="1" spans="1:14" ht="16.2" customHeight="1">
      <c r="A1" s="636"/>
      <c r="B1" s="637"/>
      <c r="C1" s="352" t="s">
        <v>112</v>
      </c>
      <c r="D1" s="352"/>
      <c r="E1" s="352"/>
      <c r="F1" s="352"/>
      <c r="G1" s="352"/>
      <c r="H1" s="352"/>
      <c r="I1" s="352"/>
      <c r="J1" s="342" t="s">
        <v>113</v>
      </c>
      <c r="K1" s="343"/>
      <c r="L1" s="344"/>
    </row>
    <row r="2" spans="1:14" ht="16.2" customHeight="1">
      <c r="A2" s="638"/>
      <c r="B2" s="639"/>
      <c r="C2" s="355"/>
      <c r="D2" s="355"/>
      <c r="E2" s="355"/>
      <c r="F2" s="355"/>
      <c r="G2" s="355"/>
      <c r="H2" s="355"/>
      <c r="I2" s="355"/>
      <c r="J2" s="374" t="s">
        <v>114</v>
      </c>
      <c r="K2" s="375"/>
      <c r="L2" s="376"/>
      <c r="N2" s="91" t="str">
        <f>[1]In!J5</f>
        <v>SX2311007</v>
      </c>
    </row>
    <row r="3" spans="1:14" ht="16.2" customHeight="1">
      <c r="A3" s="640"/>
      <c r="B3" s="641"/>
      <c r="C3" s="358"/>
      <c r="D3" s="358"/>
      <c r="E3" s="358"/>
      <c r="F3" s="358"/>
      <c r="G3" s="358"/>
      <c r="H3" s="358"/>
      <c r="I3" s="358"/>
      <c r="J3" s="381" t="s">
        <v>165</v>
      </c>
      <c r="K3" s="382"/>
      <c r="L3" s="383"/>
    </row>
    <row r="4" spans="1:14" ht="15" customHeight="1">
      <c r="A4" s="107"/>
    </row>
    <row r="5" spans="1:14" ht="15" customHeight="1">
      <c r="A5" s="92" t="s">
        <v>116</v>
      </c>
      <c r="C5" s="575" t="str">
        <f>In!C8</f>
        <v>26BA2HKH00563000029</v>
      </c>
      <c r="D5" s="575"/>
      <c r="E5" s="93"/>
      <c r="F5" s="93"/>
      <c r="G5" s="93"/>
      <c r="H5" s="93"/>
      <c r="I5" s="92" t="s">
        <v>3</v>
      </c>
      <c r="J5" s="94" t="str">
        <f>In!C9</f>
        <v>SX2607045</v>
      </c>
    </row>
    <row r="6" spans="1:14" ht="15" customHeight="1">
      <c r="A6" s="92" t="s">
        <v>117</v>
      </c>
      <c r="C6" s="642" t="str">
        <f>In!C7</f>
        <v>BT1KH00563KP0004</v>
      </c>
      <c r="D6" s="642"/>
      <c r="E6" s="95"/>
      <c r="F6" s="95"/>
      <c r="G6" s="95"/>
      <c r="H6" s="93"/>
      <c r="I6" s="92" t="s">
        <v>118</v>
      </c>
      <c r="J6" s="96" t="s">
        <v>169</v>
      </c>
    </row>
    <row r="7" spans="1:14" ht="15" customHeight="1">
      <c r="A7" s="92" t="s">
        <v>120</v>
      </c>
      <c r="C7" s="575" t="str">
        <f>In!C6</f>
        <v>Bao giấy 25kg AM-20 Tân Châu</v>
      </c>
      <c r="D7" s="575"/>
      <c r="E7" s="575"/>
      <c r="F7" s="575"/>
      <c r="G7" s="575"/>
      <c r="H7" s="575"/>
      <c r="I7" s="92" t="s">
        <v>121</v>
      </c>
      <c r="J7" s="96" t="s">
        <v>387</v>
      </c>
    </row>
    <row r="8" spans="1:14" ht="32.4" customHeight="1">
      <c r="A8" s="92" t="s">
        <v>123</v>
      </c>
      <c r="B8" s="94"/>
      <c r="C8" s="575" t="str">
        <f>In!C5</f>
        <v xml:space="preserve">NHÀ MÁY SX TINH BỘT SẮN TÂN CHÂU-CN CÔNG TY CPNS THỰC PHẨM QUẢNG NGÃI					</v>
      </c>
      <c r="D8" s="575"/>
      <c r="E8" s="575"/>
      <c r="F8" s="575"/>
      <c r="G8" s="575"/>
      <c r="H8" s="575"/>
      <c r="I8" s="92" t="s">
        <v>124</v>
      </c>
      <c r="J8" s="96" t="s">
        <v>387</v>
      </c>
    </row>
    <row r="9" spans="1:14" ht="15" customHeight="1">
      <c r="A9" s="92"/>
      <c r="B9" s="94"/>
      <c r="C9" s="94"/>
      <c r="D9" s="94"/>
      <c r="E9" s="94"/>
      <c r="F9" s="94"/>
      <c r="G9" s="94"/>
      <c r="I9" s="94"/>
    </row>
    <row r="10" spans="1:14" ht="15" customHeight="1">
      <c r="A10" s="345"/>
      <c r="B10" s="346"/>
      <c r="C10" s="349" t="s">
        <v>125</v>
      </c>
      <c r="D10" s="349"/>
      <c r="E10" s="349"/>
      <c r="F10" s="349"/>
      <c r="G10" s="349"/>
      <c r="H10" s="349" t="s">
        <v>126</v>
      </c>
      <c r="I10" s="349"/>
      <c r="J10" s="349"/>
      <c r="K10" s="349"/>
      <c r="L10" s="350"/>
    </row>
    <row r="11" spans="1:14" ht="15" customHeight="1">
      <c r="A11" s="440" t="s">
        <v>127</v>
      </c>
      <c r="B11" s="441"/>
      <c r="C11" s="371" t="s">
        <v>358</v>
      </c>
      <c r="D11" s="371"/>
      <c r="E11" s="371"/>
      <c r="F11" s="371"/>
      <c r="G11" s="371"/>
      <c r="H11" s="371" t="s">
        <v>358</v>
      </c>
      <c r="I11" s="371"/>
      <c r="J11" s="371"/>
      <c r="K11" s="371"/>
      <c r="L11" s="646"/>
    </row>
    <row r="12" spans="1:14" ht="15" customHeight="1">
      <c r="A12" s="440" t="s">
        <v>129</v>
      </c>
      <c r="B12" s="441"/>
      <c r="C12" s="371" t="s">
        <v>130</v>
      </c>
      <c r="D12" s="371"/>
      <c r="E12" s="371"/>
      <c r="F12" s="371"/>
      <c r="G12" s="371"/>
      <c r="H12" s="371" t="s">
        <v>357</v>
      </c>
      <c r="I12" s="371"/>
      <c r="J12" s="371"/>
      <c r="K12" s="371"/>
      <c r="L12" s="646"/>
    </row>
    <row r="13" spans="1:14" ht="15" customHeight="1">
      <c r="A13" s="448" t="s">
        <v>132</v>
      </c>
      <c r="B13" s="449"/>
      <c r="C13" s="439"/>
      <c r="D13" s="439"/>
      <c r="E13" s="439"/>
      <c r="F13" s="439"/>
      <c r="G13" s="439"/>
      <c r="H13" s="659"/>
      <c r="I13" s="659"/>
      <c r="J13" s="659"/>
      <c r="K13" s="659"/>
      <c r="L13" s="429"/>
    </row>
    <row r="14" spans="1:14" ht="12" customHeight="1">
      <c r="A14" s="94"/>
      <c r="B14" s="94"/>
      <c r="C14" s="94"/>
      <c r="D14" s="94"/>
      <c r="E14" s="94"/>
      <c r="H14" s="94"/>
      <c r="J14" s="94"/>
    </row>
    <row r="15" spans="1:14" ht="19.05" customHeight="1">
      <c r="A15" s="660" t="s">
        <v>170</v>
      </c>
      <c r="B15" s="661"/>
      <c r="C15" s="661"/>
      <c r="D15" s="661"/>
      <c r="E15" s="661"/>
      <c r="F15" s="661"/>
      <c r="G15" s="662"/>
      <c r="I15" s="348" t="s">
        <v>134</v>
      </c>
      <c r="J15" s="349"/>
      <c r="K15" s="349"/>
      <c r="L15" s="350"/>
    </row>
    <row r="16" spans="1:14" ht="16.95" customHeight="1">
      <c r="A16" s="652" t="s">
        <v>135</v>
      </c>
      <c r="B16" s="653"/>
      <c r="C16" s="441" t="str">
        <f>'In 1'!C16</f>
        <v>Bao KP</v>
      </c>
      <c r="D16" s="441"/>
      <c r="E16" s="441"/>
      <c r="F16" s="441"/>
      <c r="G16" s="453"/>
      <c r="I16" s="643" t="s">
        <v>137</v>
      </c>
      <c r="J16" s="644"/>
      <c r="K16" s="644" t="s">
        <v>138</v>
      </c>
      <c r="L16" s="645"/>
    </row>
    <row r="17" spans="1:12" ht="16.95" customHeight="1">
      <c r="A17" s="652" t="s">
        <v>139</v>
      </c>
      <c r="B17" s="653"/>
      <c r="C17" s="654" t="str">
        <f>'In 1'!C17</f>
        <v>500 x 920</v>
      </c>
      <c r="D17" s="654"/>
      <c r="E17" s="654"/>
      <c r="F17" s="371" t="s">
        <v>140</v>
      </c>
      <c r="G17" s="646"/>
      <c r="I17" s="98"/>
      <c r="J17" s="99"/>
      <c r="K17" s="100"/>
      <c r="L17" s="101"/>
    </row>
    <row r="18" spans="1:12" ht="16.95" customHeight="1">
      <c r="A18" s="652" t="s">
        <v>141</v>
      </c>
      <c r="B18" s="653"/>
      <c r="C18" s="654" t="str">
        <f>'In 1'!C18</f>
        <v>500 x 920</v>
      </c>
      <c r="D18" s="654"/>
      <c r="E18" s="654"/>
      <c r="F18" s="371" t="s">
        <v>140</v>
      </c>
      <c r="G18" s="646"/>
      <c r="I18" s="612"/>
      <c r="J18" s="613"/>
      <c r="K18" s="615"/>
      <c r="L18" s="649"/>
    </row>
    <row r="19" spans="1:12" ht="16.95" customHeight="1">
      <c r="A19" s="652" t="s">
        <v>142</v>
      </c>
      <c r="B19" s="653"/>
      <c r="C19" s="654">
        <f>In!M6</f>
        <v>5000</v>
      </c>
      <c r="D19" s="654"/>
      <c r="E19" s="654"/>
      <c r="F19" s="371" t="s">
        <v>12</v>
      </c>
      <c r="G19" s="646"/>
      <c r="I19" s="612"/>
      <c r="J19" s="613"/>
      <c r="K19" s="615"/>
      <c r="L19" s="649"/>
    </row>
    <row r="20" spans="1:12" ht="16.95" customHeight="1">
      <c r="A20" s="655" t="s">
        <v>143</v>
      </c>
      <c r="B20" s="656"/>
      <c r="C20" s="657">
        <f>Tráng!M9</f>
        <v>4600</v>
      </c>
      <c r="D20" s="657"/>
      <c r="E20" s="657"/>
      <c r="F20" s="439" t="s">
        <v>144</v>
      </c>
      <c r="G20" s="658"/>
      <c r="I20" s="647"/>
      <c r="J20" s="648"/>
      <c r="K20" s="650"/>
      <c r="L20" s="651"/>
    </row>
    <row r="21" spans="1:12" ht="12" customHeight="1">
      <c r="A21" s="402"/>
      <c r="B21" s="402"/>
      <c r="E21" s="402"/>
      <c r="F21" s="402"/>
      <c r="G21" s="402"/>
      <c r="H21" s="402"/>
    </row>
    <row r="22" spans="1:12" ht="15.6">
      <c r="A22" s="348" t="s">
        <v>145</v>
      </c>
      <c r="B22" s="349"/>
      <c r="C22" s="103" t="s">
        <v>146</v>
      </c>
      <c r="D22" s="349" t="s">
        <v>147</v>
      </c>
      <c r="E22" s="349"/>
      <c r="F22" s="349"/>
      <c r="G22" s="349" t="s">
        <v>148</v>
      </c>
      <c r="H22" s="665"/>
      <c r="I22" s="393" t="s">
        <v>149</v>
      </c>
      <c r="J22" s="393"/>
      <c r="K22" s="393"/>
      <c r="L22" s="666"/>
    </row>
    <row r="23" spans="1:12" ht="19.95" customHeight="1">
      <c r="A23" s="669" t="s">
        <v>150</v>
      </c>
      <c r="B23" s="436"/>
      <c r="C23" s="104"/>
      <c r="D23" s="644"/>
      <c r="E23" s="644"/>
      <c r="F23" s="644"/>
      <c r="G23" s="644"/>
      <c r="H23" s="663"/>
      <c r="I23" s="639"/>
      <c r="J23" s="639"/>
      <c r="K23" s="639"/>
      <c r="L23" s="664"/>
    </row>
    <row r="24" spans="1:12" ht="19.95" customHeight="1">
      <c r="A24" s="670"/>
      <c r="B24" s="671"/>
      <c r="C24" s="104"/>
      <c r="D24" s="644"/>
      <c r="E24" s="644"/>
      <c r="F24" s="644"/>
      <c r="G24" s="644"/>
      <c r="H24" s="663"/>
      <c r="I24" s="639"/>
      <c r="J24" s="639"/>
      <c r="K24" s="639"/>
      <c r="L24" s="664"/>
    </row>
    <row r="25" spans="1:12" ht="19.95" customHeight="1">
      <c r="A25" s="670"/>
      <c r="B25" s="671"/>
      <c r="C25" s="104"/>
      <c r="D25" s="644"/>
      <c r="E25" s="644"/>
      <c r="F25" s="644"/>
      <c r="G25" s="644"/>
      <c r="H25" s="663"/>
      <c r="I25" s="639"/>
      <c r="J25" s="639"/>
      <c r="K25" s="639"/>
      <c r="L25" s="664"/>
    </row>
    <row r="26" spans="1:12" ht="19.95" customHeight="1">
      <c r="A26" s="670"/>
      <c r="B26" s="671"/>
      <c r="C26" s="104"/>
      <c r="D26" s="644"/>
      <c r="E26" s="644"/>
      <c r="F26" s="644"/>
      <c r="G26" s="644"/>
      <c r="H26" s="663"/>
      <c r="I26" s="639"/>
      <c r="J26" s="639"/>
      <c r="K26" s="639"/>
      <c r="L26" s="664"/>
    </row>
    <row r="27" spans="1:12" ht="19.95" customHeight="1">
      <c r="A27" s="670"/>
      <c r="B27" s="671"/>
      <c r="C27" s="105"/>
      <c r="D27" s="659"/>
      <c r="E27" s="659"/>
      <c r="F27" s="659"/>
      <c r="G27" s="659"/>
      <c r="H27" s="683"/>
      <c r="I27" s="641"/>
      <c r="J27" s="641"/>
      <c r="K27" s="641"/>
      <c r="L27" s="689"/>
    </row>
    <row r="28" spans="1:12" ht="12" hidden="1" customHeight="1">
      <c r="A28" s="402"/>
      <c r="B28" s="402"/>
      <c r="E28" s="402"/>
      <c r="F28" s="402"/>
      <c r="G28" s="402"/>
      <c r="H28" s="402"/>
    </row>
    <row r="29" spans="1:12" ht="15.6">
      <c r="A29" s="348" t="s">
        <v>145</v>
      </c>
      <c r="B29" s="349"/>
      <c r="C29" s="103" t="s">
        <v>146</v>
      </c>
      <c r="D29" s="349" t="s">
        <v>147</v>
      </c>
      <c r="E29" s="349"/>
      <c r="F29" s="349"/>
      <c r="G29" s="349" t="s">
        <v>148</v>
      </c>
      <c r="H29" s="665"/>
      <c r="I29" s="393" t="s">
        <v>149</v>
      </c>
      <c r="J29" s="393"/>
      <c r="K29" s="393"/>
      <c r="L29" s="666"/>
    </row>
    <row r="30" spans="1:12" ht="19.95" customHeight="1">
      <c r="A30" s="669" t="s">
        <v>151</v>
      </c>
      <c r="B30" s="436"/>
      <c r="C30" s="104"/>
      <c r="D30" s="644"/>
      <c r="E30" s="644"/>
      <c r="F30" s="644"/>
      <c r="G30" s="644"/>
      <c r="H30" s="663"/>
      <c r="I30" s="639"/>
      <c r="J30" s="639"/>
      <c r="K30" s="639"/>
      <c r="L30" s="664"/>
    </row>
    <row r="31" spans="1:12" ht="19.95" customHeight="1">
      <c r="A31" s="670"/>
      <c r="B31" s="671"/>
      <c r="C31" s="104"/>
      <c r="D31" s="644"/>
      <c r="E31" s="644"/>
      <c r="F31" s="644"/>
      <c r="G31" s="644"/>
      <c r="H31" s="663"/>
      <c r="I31" s="639"/>
      <c r="J31" s="639"/>
      <c r="K31" s="639"/>
      <c r="L31" s="664"/>
    </row>
    <row r="32" spans="1:12" ht="19.95" customHeight="1">
      <c r="A32" s="670"/>
      <c r="B32" s="671"/>
      <c r="C32" s="104"/>
      <c r="D32" s="644"/>
      <c r="E32" s="644"/>
      <c r="F32" s="644"/>
      <c r="G32" s="644"/>
      <c r="H32" s="663"/>
      <c r="I32" s="639"/>
      <c r="J32" s="639"/>
      <c r="K32" s="639"/>
      <c r="L32" s="664"/>
    </row>
    <row r="33" spans="1:12" ht="19.95" customHeight="1">
      <c r="A33" s="670"/>
      <c r="B33" s="671"/>
      <c r="C33" s="104"/>
      <c r="D33" s="644"/>
      <c r="E33" s="644"/>
      <c r="F33" s="644"/>
      <c r="G33" s="644"/>
      <c r="H33" s="663"/>
      <c r="I33" s="639"/>
      <c r="J33" s="639"/>
      <c r="K33" s="639"/>
      <c r="L33" s="664"/>
    </row>
    <row r="34" spans="1:12" ht="19.95" customHeight="1">
      <c r="A34" s="672"/>
      <c r="B34" s="673"/>
      <c r="C34" s="106"/>
      <c r="D34" s="667"/>
      <c r="E34" s="667"/>
      <c r="F34" s="667"/>
      <c r="G34" s="667"/>
      <c r="H34" s="668"/>
      <c r="I34" s="680"/>
      <c r="J34" s="681"/>
      <c r="K34" s="681"/>
      <c r="L34" s="682"/>
    </row>
    <row r="35" spans="1:12" ht="19.95" customHeight="1">
      <c r="A35" s="684" t="s">
        <v>152</v>
      </c>
      <c r="B35" s="685"/>
      <c r="C35" s="685"/>
      <c r="D35" s="685"/>
      <c r="E35" s="685"/>
      <c r="F35" s="685"/>
      <c r="G35" s="685"/>
      <c r="H35" s="685"/>
      <c r="I35" s="686"/>
      <c r="J35" s="687"/>
      <c r="K35" s="687"/>
      <c r="L35" s="688"/>
    </row>
    <row r="36" spans="1:12" ht="12" customHeight="1">
      <c r="A36" s="402"/>
      <c r="B36" s="402"/>
      <c r="D36" s="578"/>
      <c r="E36" s="578"/>
      <c r="F36" s="578"/>
      <c r="G36" s="578"/>
      <c r="H36" s="584"/>
      <c r="I36" s="339"/>
      <c r="J36" s="339"/>
      <c r="K36" s="339"/>
      <c r="L36" s="339"/>
    </row>
    <row r="37" spans="1:12">
      <c r="A37" s="595" t="s">
        <v>149</v>
      </c>
      <c r="B37" s="596"/>
      <c r="C37" s="596"/>
      <c r="D37" s="596"/>
      <c r="E37" s="596"/>
      <c r="F37" s="596"/>
      <c r="G37" s="606"/>
      <c r="H37" s="107"/>
      <c r="I37" s="351" t="s">
        <v>153</v>
      </c>
      <c r="J37" s="349"/>
      <c r="K37" s="352" t="s">
        <v>154</v>
      </c>
      <c r="L37" s="350"/>
    </row>
    <row r="38" spans="1:12" ht="16.05" customHeight="1">
      <c r="A38" s="612"/>
      <c r="B38" s="578"/>
      <c r="C38" s="578"/>
      <c r="D38" s="578"/>
      <c r="E38" s="578"/>
      <c r="F38" s="578"/>
      <c r="G38" s="649"/>
      <c r="H38" s="107"/>
      <c r="I38" s="643"/>
      <c r="J38" s="644"/>
      <c r="K38" s="644"/>
      <c r="L38" s="645"/>
    </row>
    <row r="39" spans="1:12" ht="19.05" customHeight="1">
      <c r="A39" s="674"/>
      <c r="B39" s="675"/>
      <c r="C39" s="675"/>
      <c r="D39" s="675"/>
      <c r="E39" s="675"/>
      <c r="F39" s="675"/>
      <c r="G39" s="676"/>
      <c r="I39" s="370"/>
      <c r="J39" s="371"/>
      <c r="K39" s="371"/>
      <c r="L39" s="646"/>
    </row>
    <row r="40" spans="1:12" ht="19.05" customHeight="1">
      <c r="A40" s="677"/>
      <c r="B40" s="678"/>
      <c r="C40" s="678"/>
      <c r="D40" s="678"/>
      <c r="E40" s="678"/>
      <c r="F40" s="678"/>
      <c r="G40" s="679"/>
      <c r="I40" s="370"/>
      <c r="J40" s="371"/>
      <c r="K40" s="371"/>
      <c r="L40" s="646"/>
    </row>
    <row r="41" spans="1:12" ht="19.05" customHeight="1">
      <c r="A41" s="266"/>
      <c r="B41" s="267"/>
      <c r="C41" s="267"/>
      <c r="D41" s="267"/>
      <c r="E41" s="267"/>
      <c r="F41" s="267"/>
      <c r="G41" s="268"/>
      <c r="I41" s="405"/>
      <c r="J41" s="439"/>
      <c r="K41" s="439"/>
      <c r="L41" s="658"/>
    </row>
    <row r="42" spans="1:12" ht="16.05" customHeight="1"/>
    <row r="43" spans="1:12" ht="16.05" customHeight="1"/>
    <row r="44" spans="1:12" ht="16.05" customHeight="1"/>
    <row r="45" spans="1:12">
      <c r="H45" s="94"/>
    </row>
  </sheetData>
  <mergeCells count="101">
    <mergeCell ref="I27:L27"/>
    <mergeCell ref="A28:B28"/>
    <mergeCell ref="E28:F28"/>
    <mergeCell ref="G28:H28"/>
    <mergeCell ref="D25:F25"/>
    <mergeCell ref="G25:H25"/>
    <mergeCell ref="I25:L25"/>
    <mergeCell ref="A29:B29"/>
    <mergeCell ref="D29:F29"/>
    <mergeCell ref="G29:H29"/>
    <mergeCell ref="I29:L29"/>
    <mergeCell ref="D26:F26"/>
    <mergeCell ref="G26:H26"/>
    <mergeCell ref="I26:L26"/>
    <mergeCell ref="D30:F30"/>
    <mergeCell ref="G30:H30"/>
    <mergeCell ref="I30:L30"/>
    <mergeCell ref="D27:F27"/>
    <mergeCell ref="K39:L41"/>
    <mergeCell ref="A23:B27"/>
    <mergeCell ref="A30:B34"/>
    <mergeCell ref="A37:G38"/>
    <mergeCell ref="I37:J38"/>
    <mergeCell ref="K37:L38"/>
    <mergeCell ref="A39:G39"/>
    <mergeCell ref="A40:G40"/>
    <mergeCell ref="I34:L34"/>
    <mergeCell ref="D31:F31"/>
    <mergeCell ref="G31:H31"/>
    <mergeCell ref="I31:L31"/>
    <mergeCell ref="D32:F32"/>
    <mergeCell ref="G32:H32"/>
    <mergeCell ref="I32:L32"/>
    <mergeCell ref="G27:H27"/>
    <mergeCell ref="I39:J41"/>
    <mergeCell ref="A35:F35"/>
    <mergeCell ref="G35:H35"/>
    <mergeCell ref="I35:L35"/>
    <mergeCell ref="A36:B36"/>
    <mergeCell ref="D36:F36"/>
    <mergeCell ref="G36:H36"/>
    <mergeCell ref="I36:L36"/>
    <mergeCell ref="D33:F33"/>
    <mergeCell ref="G33:H33"/>
    <mergeCell ref="I33:L33"/>
    <mergeCell ref="D34:F34"/>
    <mergeCell ref="G34:H34"/>
    <mergeCell ref="D24:F24"/>
    <mergeCell ref="G24:H24"/>
    <mergeCell ref="I24:L24"/>
    <mergeCell ref="A21:B21"/>
    <mergeCell ref="E21:F21"/>
    <mergeCell ref="G21:H21"/>
    <mergeCell ref="A22:B22"/>
    <mergeCell ref="D22:F22"/>
    <mergeCell ref="G22:H22"/>
    <mergeCell ref="I22:L22"/>
    <mergeCell ref="D23:F23"/>
    <mergeCell ref="G23:H23"/>
    <mergeCell ref="I23:L23"/>
    <mergeCell ref="I18:J20"/>
    <mergeCell ref="K18:L20"/>
    <mergeCell ref="A19:B19"/>
    <mergeCell ref="C19:E19"/>
    <mergeCell ref="F19:G19"/>
    <mergeCell ref="A20:B20"/>
    <mergeCell ref="C20:E20"/>
    <mergeCell ref="F20:G20"/>
    <mergeCell ref="H13:L13"/>
    <mergeCell ref="A17:B17"/>
    <mergeCell ref="C17:E17"/>
    <mergeCell ref="F17:G17"/>
    <mergeCell ref="A18:B18"/>
    <mergeCell ref="C18:E18"/>
    <mergeCell ref="F18:G18"/>
    <mergeCell ref="A15:G15"/>
    <mergeCell ref="I15:L15"/>
    <mergeCell ref="A16:B16"/>
    <mergeCell ref="C16:G16"/>
    <mergeCell ref="A1:B3"/>
    <mergeCell ref="C1:I3"/>
    <mergeCell ref="J1:L1"/>
    <mergeCell ref="J2:L2"/>
    <mergeCell ref="J3:L3"/>
    <mergeCell ref="C5:D5"/>
    <mergeCell ref="C6:D6"/>
    <mergeCell ref="C8:H8"/>
    <mergeCell ref="I16:J16"/>
    <mergeCell ref="K16:L16"/>
    <mergeCell ref="C7:H7"/>
    <mergeCell ref="A10:B10"/>
    <mergeCell ref="C10:G10"/>
    <mergeCell ref="H10:L10"/>
    <mergeCell ref="A11:B11"/>
    <mergeCell ref="C11:G11"/>
    <mergeCell ref="H11:L11"/>
    <mergeCell ref="A12:B12"/>
    <mergeCell ref="C12:G12"/>
    <mergeCell ref="H12:L12"/>
    <mergeCell ref="A13:B13"/>
    <mergeCell ref="C13:G13"/>
  </mergeCells>
  <pageMargins left="0.25" right="0.25" top="0.75" bottom="0.75" header="0.3" footer="0.3"/>
  <pageSetup paperSize="9" scale="93" fitToHeight="0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00"/>
    <pageSetUpPr fitToPage="1"/>
  </sheetPr>
  <dimension ref="A1:O45"/>
  <sheetViews>
    <sheetView showGridLines="0" view="pageBreakPreview" zoomScaleNormal="100" workbookViewId="0">
      <selection activeCell="M9" sqref="M9:N9"/>
    </sheetView>
  </sheetViews>
  <sheetFormatPr defaultColWidth="9" defaultRowHeight="13.8"/>
  <cols>
    <col min="1" max="1" width="3.5546875" style="91" customWidth="1"/>
    <col min="2" max="2" width="11.77734375" style="91" customWidth="1"/>
    <col min="3" max="3" width="14.109375" style="91" customWidth="1"/>
    <col min="4" max="4" width="7.88671875" style="91" customWidth="1"/>
    <col min="5" max="5" width="6.77734375" style="91" customWidth="1"/>
    <col min="6" max="6" width="10.33203125" style="91" customWidth="1"/>
    <col min="7" max="7" width="12.21875" style="91" customWidth="1"/>
    <col min="8" max="8" width="1.88671875" style="91" customWidth="1"/>
    <col min="9" max="9" width="13.21875" style="91" customWidth="1"/>
    <col min="10" max="10" width="6.21875" style="91" customWidth="1"/>
    <col min="11" max="11" width="9.88671875" style="91" customWidth="1"/>
    <col min="12" max="12" width="7.5546875" style="91" customWidth="1"/>
    <col min="13" max="13" width="9" style="91"/>
    <col min="14" max="14" width="14.33203125" style="91" customWidth="1"/>
    <col min="15" max="15" width="32.88671875" style="91" customWidth="1"/>
    <col min="16" max="16" width="2.77734375" style="91" customWidth="1"/>
    <col min="17" max="17" width="14.6640625" style="91" customWidth="1"/>
    <col min="18" max="18" width="12.109375" style="91" customWidth="1"/>
    <col min="19" max="16384" width="9" style="91"/>
  </cols>
  <sheetData>
    <row r="1" spans="1:15" ht="16.2" customHeight="1">
      <c r="A1" s="636"/>
      <c r="B1" s="637"/>
      <c r="C1" s="352" t="s">
        <v>112</v>
      </c>
      <c r="D1" s="352"/>
      <c r="E1" s="352"/>
      <c r="F1" s="352"/>
      <c r="G1" s="352"/>
      <c r="H1" s="352"/>
      <c r="I1" s="352"/>
      <c r="J1" s="342" t="s">
        <v>113</v>
      </c>
      <c r="K1" s="343"/>
      <c r="L1" s="344"/>
    </row>
    <row r="2" spans="1:15" ht="16.2" customHeight="1">
      <c r="A2" s="638"/>
      <c r="B2" s="639"/>
      <c r="C2" s="355"/>
      <c r="D2" s="355"/>
      <c r="E2" s="355"/>
      <c r="F2" s="355"/>
      <c r="G2" s="355"/>
      <c r="H2" s="355"/>
      <c r="I2" s="355"/>
      <c r="J2" s="374" t="s">
        <v>114</v>
      </c>
      <c r="K2" s="375"/>
      <c r="L2" s="376"/>
    </row>
    <row r="3" spans="1:15" ht="16.2" customHeight="1">
      <c r="A3" s="640"/>
      <c r="B3" s="641"/>
      <c r="C3" s="358"/>
      <c r="D3" s="358"/>
      <c r="E3" s="358"/>
      <c r="F3" s="358"/>
      <c r="G3" s="358"/>
      <c r="H3" s="358"/>
      <c r="I3" s="358"/>
      <c r="J3" s="381" t="s">
        <v>165</v>
      </c>
      <c r="K3" s="382"/>
      <c r="L3" s="383"/>
    </row>
    <row r="4" spans="1:15" ht="15" customHeight="1">
      <c r="A4" s="107"/>
    </row>
    <row r="5" spans="1:15" ht="15" customHeight="1">
      <c r="A5" s="92" t="s">
        <v>116</v>
      </c>
      <c r="C5" s="575" t="str">
        <f>In!C8</f>
        <v>26BA2HKH00563000029</v>
      </c>
      <c r="D5" s="575"/>
      <c r="E5" s="93"/>
      <c r="F5" s="93"/>
      <c r="G5" s="93"/>
      <c r="H5" s="93"/>
      <c r="I5" s="92" t="s">
        <v>3</v>
      </c>
      <c r="J5" s="94" t="str">
        <f>In!C9</f>
        <v>SX2607045</v>
      </c>
    </row>
    <row r="6" spans="1:15" ht="15" customHeight="1">
      <c r="A6" s="92" t="s">
        <v>117</v>
      </c>
      <c r="C6" s="642" t="str">
        <f>In!C7</f>
        <v>BT1KH00563KP0004</v>
      </c>
      <c r="D6" s="642"/>
      <c r="E6" s="95"/>
      <c r="F6" s="95"/>
      <c r="G6" s="95"/>
      <c r="H6" s="93"/>
      <c r="I6" s="92" t="s">
        <v>118</v>
      </c>
      <c r="J6" s="96" t="s">
        <v>119</v>
      </c>
    </row>
    <row r="7" spans="1:15" ht="15" customHeight="1">
      <c r="A7" s="92" t="s">
        <v>120</v>
      </c>
      <c r="C7" s="575" t="str">
        <f>In!C6</f>
        <v>Bao giấy 25kg AM-20 Tân Châu</v>
      </c>
      <c r="D7" s="575"/>
      <c r="E7" s="575"/>
      <c r="F7" s="575"/>
      <c r="G7" s="575"/>
      <c r="H7" s="575"/>
      <c r="I7" s="92" t="s">
        <v>121</v>
      </c>
      <c r="J7" s="96" t="s">
        <v>387</v>
      </c>
    </row>
    <row r="8" spans="1:15" ht="32.4" customHeight="1">
      <c r="A8" s="92" t="s">
        <v>123</v>
      </c>
      <c r="B8" s="94"/>
      <c r="C8" s="575" t="str">
        <f>In!C5</f>
        <v xml:space="preserve">NHÀ MÁY SX TINH BỘT SẮN TÂN CHÂU-CN CÔNG TY CPNS THỰC PHẨM QUẢNG NGÃI					</v>
      </c>
      <c r="D8" s="575"/>
      <c r="E8" s="575"/>
      <c r="F8" s="575"/>
      <c r="G8" s="575"/>
      <c r="H8" s="575"/>
      <c r="I8" s="92" t="s">
        <v>124</v>
      </c>
      <c r="J8" s="96" t="s">
        <v>387</v>
      </c>
    </row>
    <row r="9" spans="1:15" ht="15" customHeight="1">
      <c r="A9" s="92"/>
      <c r="B9" s="94"/>
      <c r="C9" s="94"/>
      <c r="D9" s="94"/>
      <c r="E9" s="94"/>
      <c r="F9" s="94"/>
      <c r="G9" s="94"/>
      <c r="I9" s="94"/>
    </row>
    <row r="10" spans="1:15" ht="15" customHeight="1">
      <c r="A10" s="345"/>
      <c r="B10" s="346"/>
      <c r="C10" s="349" t="s">
        <v>125</v>
      </c>
      <c r="D10" s="349"/>
      <c r="E10" s="349"/>
      <c r="F10" s="349"/>
      <c r="G10" s="349"/>
      <c r="H10" s="349" t="s">
        <v>126</v>
      </c>
      <c r="I10" s="349"/>
      <c r="J10" s="349"/>
      <c r="K10" s="349"/>
      <c r="L10" s="350"/>
    </row>
    <row r="11" spans="1:15" ht="15" customHeight="1">
      <c r="A11" s="440" t="s">
        <v>127</v>
      </c>
      <c r="B11" s="441"/>
      <c r="C11" s="371" t="s">
        <v>358</v>
      </c>
      <c r="D11" s="371"/>
      <c r="E11" s="371"/>
      <c r="F11" s="371"/>
      <c r="G11" s="371"/>
      <c r="H11" s="371" t="s">
        <v>358</v>
      </c>
      <c r="I11" s="371"/>
      <c r="J11" s="371"/>
      <c r="K11" s="371"/>
      <c r="L11" s="646"/>
    </row>
    <row r="12" spans="1:15" ht="15" customHeight="1">
      <c r="A12" s="440" t="s">
        <v>129</v>
      </c>
      <c r="B12" s="441"/>
      <c r="C12" s="371" t="s">
        <v>130</v>
      </c>
      <c r="D12" s="371"/>
      <c r="E12" s="371"/>
      <c r="F12" s="371"/>
      <c r="G12" s="371"/>
      <c r="H12" s="371" t="s">
        <v>357</v>
      </c>
      <c r="I12" s="371"/>
      <c r="J12" s="371"/>
      <c r="K12" s="371"/>
      <c r="L12" s="646"/>
    </row>
    <row r="13" spans="1:15" ht="15" customHeight="1">
      <c r="A13" s="448" t="s">
        <v>132</v>
      </c>
      <c r="B13" s="449"/>
      <c r="C13" s="439"/>
      <c r="D13" s="439"/>
      <c r="E13" s="439"/>
      <c r="F13" s="439"/>
      <c r="G13" s="439"/>
      <c r="H13" s="659"/>
      <c r="I13" s="659"/>
      <c r="J13" s="659"/>
      <c r="K13" s="659"/>
      <c r="L13" s="429"/>
    </row>
    <row r="14" spans="1:15" ht="12" customHeight="1">
      <c r="A14" s="94"/>
      <c r="B14" s="94"/>
      <c r="C14" s="94"/>
      <c r="D14" s="94"/>
      <c r="E14" s="94"/>
      <c r="H14" s="94"/>
      <c r="J14" s="94"/>
    </row>
    <row r="15" spans="1:15" ht="19.05" customHeight="1">
      <c r="A15" s="660" t="s">
        <v>166</v>
      </c>
      <c r="B15" s="661"/>
      <c r="C15" s="661"/>
      <c r="D15" s="661"/>
      <c r="E15" s="661"/>
      <c r="F15" s="661"/>
      <c r="G15" s="662"/>
      <c r="I15" s="348" t="s">
        <v>134</v>
      </c>
      <c r="J15" s="349"/>
      <c r="K15" s="349"/>
      <c r="L15" s="350"/>
      <c r="N15" s="402"/>
      <c r="O15" s="402"/>
    </row>
    <row r="16" spans="1:15" ht="16.95" customHeight="1">
      <c r="A16" s="694" t="s">
        <v>135</v>
      </c>
      <c r="B16" s="695"/>
      <c r="C16" s="696" t="str">
        <f t="shared" ref="C16:C18" si="0">O16</f>
        <v>Bao KP</v>
      </c>
      <c r="D16" s="696"/>
      <c r="E16" s="696"/>
      <c r="F16" s="696"/>
      <c r="G16" s="463"/>
      <c r="I16" s="643" t="s">
        <v>137</v>
      </c>
      <c r="J16" s="644"/>
      <c r="K16" s="644" t="s">
        <v>138</v>
      </c>
      <c r="L16" s="645"/>
      <c r="N16" s="97" t="s">
        <v>135</v>
      </c>
      <c r="O16" s="97" t="s">
        <v>167</v>
      </c>
    </row>
    <row r="17" spans="1:15" ht="16.95" customHeight="1">
      <c r="A17" s="694" t="s">
        <v>139</v>
      </c>
      <c r="B17" s="695"/>
      <c r="C17" s="697" t="str">
        <f t="shared" si="0"/>
        <v>500 x 920</v>
      </c>
      <c r="D17" s="697"/>
      <c r="E17" s="697"/>
      <c r="F17" s="371" t="s">
        <v>140</v>
      </c>
      <c r="G17" s="646"/>
      <c r="I17" s="98"/>
      <c r="J17" s="99"/>
      <c r="K17" s="100"/>
      <c r="L17" s="101"/>
      <c r="N17" s="97" t="s">
        <v>139</v>
      </c>
      <c r="O17" s="97" t="s">
        <v>168</v>
      </c>
    </row>
    <row r="18" spans="1:15" ht="16.95" customHeight="1">
      <c r="A18" s="694" t="s">
        <v>141</v>
      </c>
      <c r="B18" s="695"/>
      <c r="C18" s="697" t="str">
        <f t="shared" si="0"/>
        <v>500 x 920</v>
      </c>
      <c r="D18" s="697"/>
      <c r="E18" s="697"/>
      <c r="F18" s="371" t="s">
        <v>140</v>
      </c>
      <c r="G18" s="646"/>
      <c r="I18" s="612"/>
      <c r="J18" s="613"/>
      <c r="K18" s="615"/>
      <c r="L18" s="649"/>
      <c r="N18" s="97" t="s">
        <v>141</v>
      </c>
      <c r="O18" s="97" t="s">
        <v>168</v>
      </c>
    </row>
    <row r="19" spans="1:15" ht="16.95" customHeight="1">
      <c r="A19" s="694" t="s">
        <v>142</v>
      </c>
      <c r="B19" s="695"/>
      <c r="C19" s="654">
        <f>In!M6</f>
        <v>5000</v>
      </c>
      <c r="D19" s="654"/>
      <c r="E19" s="654"/>
      <c r="F19" s="419" t="s">
        <v>12</v>
      </c>
      <c r="G19" s="428"/>
      <c r="I19" s="612"/>
      <c r="J19" s="613"/>
      <c r="K19" s="615"/>
      <c r="L19" s="649"/>
      <c r="N19" s="97" t="s">
        <v>142</v>
      </c>
      <c r="O19" s="102">
        <v>20000</v>
      </c>
    </row>
    <row r="20" spans="1:15" ht="16.95" customHeight="1">
      <c r="A20" s="698" t="s">
        <v>143</v>
      </c>
      <c r="B20" s="699"/>
      <c r="C20" s="700">
        <f>In!M9</f>
        <v>4600</v>
      </c>
      <c r="D20" s="701"/>
      <c r="E20" s="701"/>
      <c r="F20" s="439" t="s">
        <v>144</v>
      </c>
      <c r="G20" s="658"/>
      <c r="I20" s="647"/>
      <c r="J20" s="648"/>
      <c r="K20" s="650"/>
      <c r="L20" s="651"/>
    </row>
    <row r="21" spans="1:15" ht="12" customHeight="1">
      <c r="A21" s="402"/>
      <c r="B21" s="402"/>
      <c r="E21" s="402"/>
      <c r="F21" s="402"/>
      <c r="G21" s="402"/>
      <c r="H21" s="402"/>
    </row>
    <row r="22" spans="1:15" ht="15.6">
      <c r="A22" s="348" t="s">
        <v>145</v>
      </c>
      <c r="B22" s="349"/>
      <c r="C22" s="103" t="s">
        <v>146</v>
      </c>
      <c r="D22" s="349" t="s">
        <v>147</v>
      </c>
      <c r="E22" s="349"/>
      <c r="F22" s="349"/>
      <c r="G22" s="349" t="s">
        <v>148</v>
      </c>
      <c r="H22" s="665"/>
      <c r="I22" s="393" t="s">
        <v>149</v>
      </c>
      <c r="J22" s="393"/>
      <c r="K22" s="393"/>
      <c r="L22" s="666"/>
    </row>
    <row r="23" spans="1:15" ht="19.95" customHeight="1">
      <c r="A23" s="669" t="s">
        <v>150</v>
      </c>
      <c r="B23" s="436"/>
      <c r="C23" s="104"/>
      <c r="D23" s="644"/>
      <c r="E23" s="644"/>
      <c r="F23" s="644"/>
      <c r="G23" s="644"/>
      <c r="H23" s="663"/>
      <c r="I23" s="639"/>
      <c r="J23" s="639"/>
      <c r="K23" s="639"/>
      <c r="L23" s="664"/>
    </row>
    <row r="24" spans="1:15" ht="19.95" customHeight="1">
      <c r="A24" s="670"/>
      <c r="B24" s="671"/>
      <c r="C24" s="104"/>
      <c r="D24" s="644"/>
      <c r="E24" s="644"/>
      <c r="F24" s="644"/>
      <c r="G24" s="644"/>
      <c r="H24" s="663"/>
      <c r="I24" s="639"/>
      <c r="J24" s="639"/>
      <c r="K24" s="639"/>
      <c r="L24" s="664"/>
    </row>
    <row r="25" spans="1:15" ht="19.95" customHeight="1">
      <c r="A25" s="670"/>
      <c r="B25" s="671"/>
      <c r="C25" s="104"/>
      <c r="D25" s="644"/>
      <c r="E25" s="644"/>
      <c r="F25" s="644"/>
      <c r="G25" s="644"/>
      <c r="H25" s="663"/>
      <c r="I25" s="639"/>
      <c r="J25" s="639"/>
      <c r="K25" s="639"/>
      <c r="L25" s="664"/>
    </row>
    <row r="26" spans="1:15" ht="19.95" customHeight="1">
      <c r="A26" s="670"/>
      <c r="B26" s="671"/>
      <c r="C26" s="104"/>
      <c r="D26" s="644"/>
      <c r="E26" s="644"/>
      <c r="F26" s="644"/>
      <c r="G26" s="644"/>
      <c r="H26" s="663"/>
      <c r="I26" s="639"/>
      <c r="J26" s="639"/>
      <c r="K26" s="639"/>
      <c r="L26" s="664"/>
    </row>
    <row r="27" spans="1:15" ht="19.95" customHeight="1">
      <c r="A27" s="670"/>
      <c r="B27" s="671"/>
      <c r="C27" s="105"/>
      <c r="D27" s="659"/>
      <c r="E27" s="659"/>
      <c r="F27" s="659"/>
      <c r="G27" s="659"/>
      <c r="H27" s="683"/>
      <c r="I27" s="641"/>
      <c r="J27" s="641"/>
      <c r="K27" s="641"/>
      <c r="L27" s="689"/>
    </row>
    <row r="28" spans="1:15" ht="12" hidden="1" customHeight="1">
      <c r="A28" s="402"/>
      <c r="B28" s="402"/>
      <c r="E28" s="402"/>
      <c r="F28" s="402"/>
      <c r="G28" s="402"/>
      <c r="H28" s="402"/>
    </row>
    <row r="29" spans="1:15" ht="15.6">
      <c r="A29" s="348" t="s">
        <v>145</v>
      </c>
      <c r="B29" s="349"/>
      <c r="C29" s="103" t="s">
        <v>146</v>
      </c>
      <c r="D29" s="349" t="s">
        <v>147</v>
      </c>
      <c r="E29" s="349"/>
      <c r="F29" s="349"/>
      <c r="G29" s="349" t="s">
        <v>148</v>
      </c>
      <c r="H29" s="665"/>
      <c r="I29" s="393" t="s">
        <v>149</v>
      </c>
      <c r="J29" s="393"/>
      <c r="K29" s="393"/>
      <c r="L29" s="666"/>
    </row>
    <row r="30" spans="1:15" ht="19.95" customHeight="1">
      <c r="A30" s="669" t="s">
        <v>151</v>
      </c>
      <c r="B30" s="436"/>
      <c r="C30" s="104"/>
      <c r="D30" s="644"/>
      <c r="E30" s="644"/>
      <c r="F30" s="644"/>
      <c r="G30" s="644"/>
      <c r="H30" s="663"/>
      <c r="I30" s="639"/>
      <c r="J30" s="639"/>
      <c r="K30" s="639"/>
      <c r="L30" s="664"/>
    </row>
    <row r="31" spans="1:15" ht="19.95" customHeight="1">
      <c r="A31" s="670"/>
      <c r="B31" s="671"/>
      <c r="C31" s="104"/>
      <c r="D31" s="644"/>
      <c r="E31" s="644"/>
      <c r="F31" s="644"/>
      <c r="G31" s="644"/>
      <c r="H31" s="663"/>
      <c r="I31" s="639"/>
      <c r="J31" s="639"/>
      <c r="K31" s="639"/>
      <c r="L31" s="664"/>
    </row>
    <row r="32" spans="1:15" ht="19.95" customHeight="1">
      <c r="A32" s="670"/>
      <c r="B32" s="671"/>
      <c r="C32" s="104"/>
      <c r="D32" s="644"/>
      <c r="E32" s="644"/>
      <c r="F32" s="644"/>
      <c r="G32" s="644"/>
      <c r="H32" s="663"/>
      <c r="I32" s="639"/>
      <c r="J32" s="639"/>
      <c r="K32" s="639"/>
      <c r="L32" s="664"/>
    </row>
    <row r="33" spans="1:12" ht="19.95" customHeight="1">
      <c r="A33" s="670"/>
      <c r="B33" s="671"/>
      <c r="C33" s="104"/>
      <c r="D33" s="644"/>
      <c r="E33" s="644"/>
      <c r="F33" s="644"/>
      <c r="G33" s="644"/>
      <c r="H33" s="663"/>
      <c r="I33" s="639"/>
      <c r="J33" s="639"/>
      <c r="K33" s="639"/>
      <c r="L33" s="664"/>
    </row>
    <row r="34" spans="1:12" ht="19.95" customHeight="1">
      <c r="A34" s="672"/>
      <c r="B34" s="673"/>
      <c r="C34" s="106"/>
      <c r="D34" s="667"/>
      <c r="E34" s="667"/>
      <c r="F34" s="667"/>
      <c r="G34" s="667"/>
      <c r="H34" s="668"/>
      <c r="I34" s="680"/>
      <c r="J34" s="681"/>
      <c r="K34" s="681"/>
      <c r="L34" s="682"/>
    </row>
    <row r="35" spans="1:12" ht="19.95" customHeight="1">
      <c r="A35" s="684" t="s">
        <v>152</v>
      </c>
      <c r="B35" s="685"/>
      <c r="C35" s="685"/>
      <c r="D35" s="685"/>
      <c r="E35" s="685"/>
      <c r="F35" s="685"/>
      <c r="G35" s="685"/>
      <c r="H35" s="685"/>
      <c r="I35" s="686"/>
      <c r="J35" s="687"/>
      <c r="K35" s="687"/>
      <c r="L35" s="688"/>
    </row>
    <row r="36" spans="1:12" ht="12" customHeight="1">
      <c r="A36" s="402"/>
      <c r="B36" s="402"/>
      <c r="D36" s="578"/>
      <c r="E36" s="578"/>
      <c r="F36" s="578"/>
      <c r="G36" s="578"/>
      <c r="H36" s="584"/>
      <c r="I36" s="339"/>
      <c r="J36" s="339"/>
      <c r="K36" s="339"/>
      <c r="L36" s="339"/>
    </row>
    <row r="37" spans="1:12">
      <c r="A37" s="595" t="s">
        <v>149</v>
      </c>
      <c r="B37" s="596"/>
      <c r="C37" s="596"/>
      <c r="D37" s="596"/>
      <c r="E37" s="596"/>
      <c r="F37" s="596"/>
      <c r="G37" s="606"/>
      <c r="H37" s="107"/>
      <c r="I37" s="351" t="s">
        <v>153</v>
      </c>
      <c r="J37" s="349"/>
      <c r="K37" s="352" t="s">
        <v>154</v>
      </c>
      <c r="L37" s="350"/>
    </row>
    <row r="38" spans="1:12" ht="16.05" customHeight="1">
      <c r="A38" s="612"/>
      <c r="B38" s="578"/>
      <c r="C38" s="578"/>
      <c r="D38" s="578"/>
      <c r="E38" s="578"/>
      <c r="F38" s="578"/>
      <c r="G38" s="649"/>
      <c r="H38" s="107"/>
      <c r="I38" s="643"/>
      <c r="J38" s="644"/>
      <c r="K38" s="644"/>
      <c r="L38" s="645"/>
    </row>
    <row r="39" spans="1:12" ht="19.05" customHeight="1">
      <c r="A39" s="674"/>
      <c r="B39" s="675"/>
      <c r="C39" s="675"/>
      <c r="D39" s="675"/>
      <c r="E39" s="675"/>
      <c r="F39" s="675"/>
      <c r="G39" s="676"/>
      <c r="I39" s="370"/>
      <c r="J39" s="371"/>
      <c r="K39" s="371"/>
      <c r="L39" s="646"/>
    </row>
    <row r="40" spans="1:12" ht="19.05" customHeight="1">
      <c r="A40" s="677"/>
      <c r="B40" s="678"/>
      <c r="C40" s="678"/>
      <c r="D40" s="678"/>
      <c r="E40" s="678"/>
      <c r="F40" s="678"/>
      <c r="G40" s="679"/>
      <c r="I40" s="370"/>
      <c r="J40" s="371"/>
      <c r="K40" s="371"/>
      <c r="L40" s="646"/>
    </row>
    <row r="41" spans="1:12" ht="19.05" customHeight="1">
      <c r="A41" s="266"/>
      <c r="B41" s="267"/>
      <c r="C41" s="267"/>
      <c r="D41" s="267"/>
      <c r="E41" s="267"/>
      <c r="F41" s="267"/>
      <c r="G41" s="268"/>
      <c r="I41" s="405"/>
      <c r="J41" s="439"/>
      <c r="K41" s="439"/>
      <c r="L41" s="658"/>
    </row>
    <row r="42" spans="1:12" ht="16.05" customHeight="1"/>
    <row r="43" spans="1:12" ht="16.05" customHeight="1"/>
    <row r="44" spans="1:12" ht="16.05" customHeight="1"/>
    <row r="45" spans="1:12">
      <c r="H45" s="94"/>
    </row>
  </sheetData>
  <mergeCells count="102">
    <mergeCell ref="A36:B36"/>
    <mergeCell ref="D36:F36"/>
    <mergeCell ref="G36:H36"/>
    <mergeCell ref="I36:L36"/>
    <mergeCell ref="A39:G39"/>
    <mergeCell ref="A40:G40"/>
    <mergeCell ref="A1:B3"/>
    <mergeCell ref="C1:I3"/>
    <mergeCell ref="I18:J20"/>
    <mergeCell ref="K18:L20"/>
    <mergeCell ref="A23:B27"/>
    <mergeCell ref="A30:B34"/>
    <mergeCell ref="A37:G38"/>
    <mergeCell ref="I37:J38"/>
    <mergeCell ref="K37:L38"/>
    <mergeCell ref="I39:J41"/>
    <mergeCell ref="K39:L41"/>
    <mergeCell ref="D33:F33"/>
    <mergeCell ref="G33:H33"/>
    <mergeCell ref="I33:L33"/>
    <mergeCell ref="D34:F34"/>
    <mergeCell ref="G34:H34"/>
    <mergeCell ref="I34:L34"/>
    <mergeCell ref="A35:F35"/>
    <mergeCell ref="G35:H35"/>
    <mergeCell ref="I35:L35"/>
    <mergeCell ref="D30:F30"/>
    <mergeCell ref="G30:H30"/>
    <mergeCell ref="I30:L30"/>
    <mergeCell ref="D31:F31"/>
    <mergeCell ref="G31:H31"/>
    <mergeCell ref="I31:L31"/>
    <mergeCell ref="D32:F32"/>
    <mergeCell ref="G32:H32"/>
    <mergeCell ref="I32:L32"/>
    <mergeCell ref="D27:F27"/>
    <mergeCell ref="G27:H27"/>
    <mergeCell ref="I27:L27"/>
    <mergeCell ref="A28:B28"/>
    <mergeCell ref="E28:F28"/>
    <mergeCell ref="G28:H28"/>
    <mergeCell ref="A29:B29"/>
    <mergeCell ref="D29:F29"/>
    <mergeCell ref="G29:H29"/>
    <mergeCell ref="I29:L29"/>
    <mergeCell ref="D24:F24"/>
    <mergeCell ref="G24:H24"/>
    <mergeCell ref="I24:L24"/>
    <mergeCell ref="D25:F25"/>
    <mergeCell ref="G25:H25"/>
    <mergeCell ref="I25:L25"/>
    <mergeCell ref="D26:F26"/>
    <mergeCell ref="G26:H26"/>
    <mergeCell ref="I26:L26"/>
    <mergeCell ref="A21:B21"/>
    <mergeCell ref="E21:F21"/>
    <mergeCell ref="G21:H21"/>
    <mergeCell ref="A22:B22"/>
    <mergeCell ref="D22:F22"/>
    <mergeCell ref="G22:H22"/>
    <mergeCell ref="I22:L22"/>
    <mergeCell ref="D23:F23"/>
    <mergeCell ref="G23:H23"/>
    <mergeCell ref="I23:L23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15:G15"/>
    <mergeCell ref="I15:L15"/>
    <mergeCell ref="N15:O15"/>
    <mergeCell ref="A16:B16"/>
    <mergeCell ref="C16:G16"/>
    <mergeCell ref="I16:J16"/>
    <mergeCell ref="K16:L16"/>
    <mergeCell ref="A17:B17"/>
    <mergeCell ref="C17:E17"/>
    <mergeCell ref="F17:G17"/>
    <mergeCell ref="A11:B11"/>
    <mergeCell ref="C11:G11"/>
    <mergeCell ref="H11:L11"/>
    <mergeCell ref="A12:B12"/>
    <mergeCell ref="C12:G12"/>
    <mergeCell ref="H12:L12"/>
    <mergeCell ref="A13:B13"/>
    <mergeCell ref="C13:G13"/>
    <mergeCell ref="H13:L13"/>
    <mergeCell ref="J1:L1"/>
    <mergeCell ref="J2:L2"/>
    <mergeCell ref="J3:L3"/>
    <mergeCell ref="C5:D5"/>
    <mergeCell ref="C6:D6"/>
    <mergeCell ref="C7:H7"/>
    <mergeCell ref="A10:B10"/>
    <mergeCell ref="C10:G10"/>
    <mergeCell ref="H10:L10"/>
    <mergeCell ref="C8:H8"/>
  </mergeCells>
  <pageMargins left="0.25" right="0.25" top="0.75" bottom="0.75" header="0.3" footer="0.3"/>
  <pageSetup paperSize="9" scale="93" fitToHeight="0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1"/>
    <pageSetUpPr fitToPage="1"/>
  </sheetPr>
  <dimension ref="A1"/>
  <sheetViews>
    <sheetView view="pageBreakPreview" zoomScale="55" zoomScaleNormal="85" workbookViewId="0">
      <selection activeCell="U9" sqref="U9"/>
    </sheetView>
  </sheetViews>
  <sheetFormatPr defaultColWidth="9" defaultRowHeight="13.8"/>
  <cols>
    <col min="1" max="16384" width="9" style="109"/>
  </cols>
  <sheetData/>
  <pageMargins left="0.7" right="0.7" top="0.75" bottom="0.75" header="0.3" footer="0.3"/>
  <pageSetup paperSize="9" scale="80" orientation="portrait" horizontalDpi="300" verticalDpi="30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B0F0"/>
    <pageSetUpPr fitToPage="1"/>
  </sheetPr>
  <dimension ref="A1:X79"/>
  <sheetViews>
    <sheetView showGridLines="0" view="pageBreakPreview" topLeftCell="A16" zoomScaleNormal="100" zoomScaleSheetLayoutView="100" zoomScalePageLayoutView="85" workbookViewId="0">
      <selection activeCell="D34" sqref="D34"/>
    </sheetView>
  </sheetViews>
  <sheetFormatPr defaultColWidth="8.88671875" defaultRowHeight="13.8"/>
  <cols>
    <col min="1" max="1" width="4" style="91" customWidth="1"/>
    <col min="2" max="2" width="19" style="91" customWidth="1"/>
    <col min="3" max="3" width="16.109375" style="91" customWidth="1"/>
    <col min="4" max="4" width="22.44140625" style="91" customWidth="1"/>
    <col min="5" max="6" width="10.44140625" style="91" customWidth="1"/>
    <col min="7" max="7" width="9.109375" style="91" customWidth="1"/>
    <col min="8" max="8" width="11.5546875" style="91" customWidth="1"/>
    <col min="9" max="9" width="1.77734375" style="91" customWidth="1"/>
    <col min="10" max="10" width="12" style="91" customWidth="1"/>
    <col min="11" max="11" width="11.109375" style="91" customWidth="1"/>
    <col min="12" max="12" width="9.88671875" style="91" customWidth="1"/>
    <col min="13" max="13" width="12.5546875" style="91" customWidth="1"/>
    <col min="14" max="14" width="8.88671875" style="91"/>
    <col min="15" max="15" width="9.88671875" style="91" customWidth="1"/>
    <col min="16" max="16" width="23.5546875" style="91" customWidth="1"/>
    <col min="17" max="17" width="35.5546875" style="91" customWidth="1"/>
    <col min="18" max="16384" width="8.88671875" style="91"/>
  </cols>
  <sheetData>
    <row r="1" spans="1:24" ht="20.399999999999999" customHeight="1">
      <c r="A1" s="705"/>
      <c r="B1" s="706"/>
      <c r="C1" s="711" t="s">
        <v>178</v>
      </c>
      <c r="D1" s="712"/>
      <c r="E1" s="712"/>
      <c r="F1" s="712"/>
      <c r="G1" s="712"/>
      <c r="H1" s="712"/>
      <c r="I1" s="712"/>
      <c r="J1" s="713"/>
      <c r="K1" s="342" t="s">
        <v>179</v>
      </c>
      <c r="L1" s="343"/>
      <c r="M1" s="344"/>
    </row>
    <row r="2" spans="1:24" ht="19.05" customHeight="1">
      <c r="A2" s="707"/>
      <c r="B2" s="708"/>
      <c r="C2" s="714"/>
      <c r="D2" s="581"/>
      <c r="E2" s="581"/>
      <c r="F2" s="581"/>
      <c r="G2" s="581"/>
      <c r="H2" s="581"/>
      <c r="I2" s="581"/>
      <c r="J2" s="620"/>
      <c r="K2" s="374" t="s">
        <v>114</v>
      </c>
      <c r="L2" s="375"/>
      <c r="M2" s="376"/>
    </row>
    <row r="3" spans="1:24" ht="19.05" customHeight="1">
      <c r="A3" s="709"/>
      <c r="B3" s="710"/>
      <c r="C3" s="715"/>
      <c r="D3" s="716"/>
      <c r="E3" s="716"/>
      <c r="F3" s="716"/>
      <c r="G3" s="716"/>
      <c r="H3" s="716"/>
      <c r="I3" s="716"/>
      <c r="J3" s="717"/>
      <c r="K3" s="381" t="s">
        <v>165</v>
      </c>
      <c r="L3" s="382"/>
      <c r="M3" s="383"/>
    </row>
    <row r="4" spans="1:24" ht="15" customHeight="1">
      <c r="A4" s="107"/>
      <c r="C4" s="178"/>
    </row>
    <row r="5" spans="1:24" ht="15" customHeight="1">
      <c r="A5" s="576" t="s">
        <v>116</v>
      </c>
      <c r="B5" s="576"/>
      <c r="C5" s="575" t="str">
        <f>In!C8</f>
        <v>26BA2HKH00563000029</v>
      </c>
      <c r="D5" s="575"/>
      <c r="E5" s="575"/>
      <c r="F5" s="575"/>
      <c r="G5" s="575"/>
      <c r="H5" s="575"/>
      <c r="I5" s="92" t="s">
        <v>3</v>
      </c>
      <c r="J5" s="92"/>
      <c r="K5" s="179" t="str">
        <f>In!C9</f>
        <v>SX2607045</v>
      </c>
      <c r="U5" s="91" t="s">
        <v>180</v>
      </c>
      <c r="V5" s="91" t="s">
        <v>181</v>
      </c>
      <c r="W5" s="91" t="s">
        <v>182</v>
      </c>
      <c r="X5" s="91" t="s">
        <v>183</v>
      </c>
    </row>
    <row r="6" spans="1:24" ht="15" customHeight="1">
      <c r="A6" s="577" t="s">
        <v>117</v>
      </c>
      <c r="B6" s="577"/>
      <c r="C6" s="338" t="str">
        <f>In!C7</f>
        <v>BT1KH00563KP0004</v>
      </c>
      <c r="D6" s="338"/>
      <c r="E6" s="338"/>
      <c r="F6" s="338"/>
      <c r="G6" s="338"/>
      <c r="H6" s="338"/>
      <c r="I6" s="92" t="s">
        <v>184</v>
      </c>
      <c r="J6" s="92"/>
      <c r="K6" s="94" t="s">
        <v>119</v>
      </c>
    </row>
    <row r="7" spans="1:24" ht="15.6" customHeight="1">
      <c r="A7" s="577" t="s">
        <v>120</v>
      </c>
      <c r="B7" s="577"/>
      <c r="C7" s="338" t="str">
        <f>In!C6</f>
        <v>Bao giấy 25kg AM-20 Tân Châu</v>
      </c>
      <c r="D7" s="338"/>
      <c r="E7" s="338"/>
      <c r="F7" s="338"/>
      <c r="G7" s="338"/>
      <c r="H7" s="338"/>
      <c r="I7" s="180" t="s">
        <v>121</v>
      </c>
      <c r="J7" s="180"/>
      <c r="K7" s="181" t="s">
        <v>387</v>
      </c>
    </row>
    <row r="8" spans="1:24" ht="31.8" customHeight="1">
      <c r="A8" s="577" t="s">
        <v>123</v>
      </c>
      <c r="B8" s="577"/>
      <c r="C8" s="575" t="str">
        <f>In!C5</f>
        <v xml:space="preserve">NHÀ MÁY SX TINH BỘT SẮN TÂN CHÂU-CN CÔNG TY CPNS THỰC PHẨM QUẢNG NGÃI					</v>
      </c>
      <c r="D8" s="575"/>
      <c r="E8" s="575"/>
      <c r="F8" s="575"/>
      <c r="G8" s="575"/>
      <c r="H8" s="575"/>
      <c r="I8" s="180" t="s">
        <v>124</v>
      </c>
      <c r="J8" s="180"/>
      <c r="K8" s="181" t="s">
        <v>387</v>
      </c>
    </row>
    <row r="9" spans="1:24" ht="15" customHeight="1">
      <c r="A9" s="94"/>
      <c r="B9" s="94"/>
      <c r="C9" s="94"/>
      <c r="D9" s="94"/>
      <c r="E9" s="94"/>
      <c r="I9" s="94"/>
      <c r="K9" s="94"/>
    </row>
    <row r="10" spans="1:24" ht="19.05" customHeight="1">
      <c r="A10" s="345"/>
      <c r="B10" s="346"/>
      <c r="C10" s="349" t="s">
        <v>125</v>
      </c>
      <c r="D10" s="349"/>
      <c r="E10" s="349"/>
      <c r="F10" s="349"/>
      <c r="G10" s="349"/>
      <c r="H10" s="349" t="s">
        <v>126</v>
      </c>
      <c r="I10" s="349"/>
      <c r="J10" s="349"/>
      <c r="K10" s="349"/>
      <c r="L10" s="349"/>
      <c r="M10" s="350"/>
    </row>
    <row r="11" spans="1:24" ht="19.05" customHeight="1">
      <c r="A11" s="440" t="s">
        <v>127</v>
      </c>
      <c r="B11" s="441"/>
      <c r="C11" s="371" t="s">
        <v>358</v>
      </c>
      <c r="D11" s="371"/>
      <c r="E11" s="371"/>
      <c r="F11" s="371"/>
      <c r="G11" s="371"/>
      <c r="H11" s="371" t="s">
        <v>358</v>
      </c>
      <c r="I11" s="371"/>
      <c r="J11" s="371"/>
      <c r="K11" s="371"/>
      <c r="L11" s="371"/>
      <c r="M11" s="646"/>
    </row>
    <row r="12" spans="1:24" ht="19.05" customHeight="1">
      <c r="A12" s="440" t="s">
        <v>129</v>
      </c>
      <c r="B12" s="441"/>
      <c r="C12" s="371" t="s">
        <v>130</v>
      </c>
      <c r="D12" s="371"/>
      <c r="E12" s="371"/>
      <c r="F12" s="371"/>
      <c r="G12" s="371"/>
      <c r="H12" s="371" t="s">
        <v>357</v>
      </c>
      <c r="I12" s="371"/>
      <c r="J12" s="371"/>
      <c r="K12" s="371"/>
      <c r="L12" s="371"/>
      <c r="M12" s="646"/>
    </row>
    <row r="13" spans="1:24" ht="19.05" customHeight="1">
      <c r="A13" s="448" t="s">
        <v>132</v>
      </c>
      <c r="B13" s="449"/>
      <c r="C13" s="659"/>
      <c r="D13" s="659"/>
      <c r="E13" s="659"/>
      <c r="F13" s="659"/>
      <c r="G13" s="659"/>
      <c r="H13" s="659"/>
      <c r="I13" s="659"/>
      <c r="J13" s="659"/>
      <c r="K13" s="659"/>
      <c r="L13" s="659"/>
      <c r="M13" s="429"/>
    </row>
    <row r="15" spans="1:24" ht="24" customHeight="1">
      <c r="A15" s="660" t="s">
        <v>166</v>
      </c>
      <c r="B15" s="330"/>
      <c r="C15" s="330"/>
      <c r="D15" s="330"/>
      <c r="E15" s="330"/>
      <c r="F15" s="330"/>
      <c r="G15" s="330"/>
      <c r="H15" s="331"/>
      <c r="J15" s="348" t="s">
        <v>185</v>
      </c>
      <c r="K15" s="349"/>
      <c r="L15" s="349"/>
      <c r="M15" s="350"/>
    </row>
    <row r="16" spans="1:24" ht="18" customHeight="1">
      <c r="A16" s="182" t="s">
        <v>186</v>
      </c>
      <c r="B16" s="97"/>
      <c r="C16" s="718">
        <f>In!M9</f>
        <v>4600</v>
      </c>
      <c r="D16" s="719"/>
      <c r="E16" s="720" t="s">
        <v>187</v>
      </c>
      <c r="F16" s="720"/>
      <c r="G16" s="721">
        <f>In!M9</f>
        <v>4600</v>
      </c>
      <c r="H16" s="722"/>
      <c r="J16" s="643" t="s">
        <v>137</v>
      </c>
      <c r="K16" s="644"/>
      <c r="L16" s="644" t="s">
        <v>138</v>
      </c>
      <c r="M16" s="645"/>
      <c r="O16" s="91">
        <f>9936-5000</f>
        <v>4936</v>
      </c>
    </row>
    <row r="17" spans="1:14" ht="18" customHeight="1">
      <c r="A17" s="244" t="s">
        <v>32</v>
      </c>
      <c r="B17" s="245" t="s">
        <v>33</v>
      </c>
      <c r="C17" s="120" t="s">
        <v>34</v>
      </c>
      <c r="D17" s="245" t="s">
        <v>188</v>
      </c>
      <c r="E17" s="246" t="s">
        <v>6</v>
      </c>
      <c r="F17" s="246" t="s">
        <v>189</v>
      </c>
      <c r="G17" s="246" t="s">
        <v>190</v>
      </c>
      <c r="H17" s="247" t="s">
        <v>191</v>
      </c>
      <c r="J17" s="370"/>
      <c r="K17" s="371"/>
      <c r="L17" s="371"/>
      <c r="M17" s="646"/>
    </row>
    <row r="18" spans="1:14" ht="18" customHeight="1">
      <c r="A18" s="745"/>
      <c r="B18" s="409" t="str">
        <f>In!C18</f>
        <v>Giấy Kraft vàng Nhật K1020 ĐL70</v>
      </c>
      <c r="C18" s="248" t="str">
        <f>In!D18</f>
        <v>GN07010200001</v>
      </c>
      <c r="D18" s="249"/>
      <c r="E18" s="250" t="s">
        <v>51</v>
      </c>
      <c r="F18" s="251">
        <f>In!G18</f>
        <v>328.44000000000005</v>
      </c>
      <c r="G18" s="252"/>
      <c r="H18" s="253"/>
      <c r="J18" s="370"/>
      <c r="K18" s="371"/>
      <c r="L18" s="371"/>
      <c r="M18" s="646"/>
    </row>
    <row r="19" spans="1:14" ht="18" customHeight="1">
      <c r="A19" s="457"/>
      <c r="B19" s="410"/>
      <c r="C19" s="148"/>
      <c r="D19" s="104"/>
      <c r="E19" s="188" t="s">
        <v>55</v>
      </c>
      <c r="F19" s="254">
        <f>In!G19</f>
        <v>4600</v>
      </c>
      <c r="G19" s="189"/>
      <c r="H19" s="190"/>
      <c r="J19" s="370"/>
      <c r="K19" s="371"/>
      <c r="L19" s="371"/>
      <c r="M19" s="646"/>
    </row>
    <row r="20" spans="1:14" ht="18" customHeight="1" thickBot="1">
      <c r="A20" s="457"/>
      <c r="B20" s="106"/>
      <c r="C20" s="106"/>
      <c r="D20" s="106"/>
      <c r="E20" s="255"/>
      <c r="F20" s="256"/>
      <c r="G20" s="257"/>
      <c r="H20" s="258"/>
      <c r="J20" s="405"/>
      <c r="K20" s="439"/>
      <c r="L20" s="439"/>
      <c r="M20" s="658"/>
    </row>
    <row r="21" spans="1:14" ht="23.4" customHeight="1" thickBot="1">
      <c r="A21" s="702">
        <v>1</v>
      </c>
      <c r="B21" s="317" t="s">
        <v>391</v>
      </c>
      <c r="C21" s="318" t="s">
        <v>392</v>
      </c>
      <c r="D21" s="319"/>
      <c r="E21" s="319" t="s">
        <v>51</v>
      </c>
      <c r="F21" s="317">
        <v>8</v>
      </c>
      <c r="G21" s="317"/>
      <c r="H21" s="320"/>
      <c r="J21" s="578"/>
      <c r="K21" s="578"/>
      <c r="L21" s="578"/>
      <c r="M21" s="578"/>
    </row>
    <row r="22" spans="1:14" ht="18" customHeight="1">
      <c r="A22" s="703"/>
      <c r="B22" s="146"/>
      <c r="C22" s="146"/>
      <c r="D22" s="316"/>
      <c r="E22" s="316"/>
      <c r="F22" s="146"/>
      <c r="G22" s="146"/>
      <c r="H22" s="259"/>
      <c r="J22" s="348" t="s">
        <v>192</v>
      </c>
      <c r="K22" s="349"/>
      <c r="L22" s="349"/>
      <c r="M22" s="350"/>
    </row>
    <row r="23" spans="1:14" ht="18" customHeight="1">
      <c r="A23" s="703"/>
      <c r="B23" s="146"/>
      <c r="C23" s="146"/>
      <c r="D23" s="316"/>
      <c r="E23" s="316"/>
      <c r="F23" s="146"/>
      <c r="G23" s="146"/>
      <c r="H23" s="259"/>
      <c r="J23" s="643" t="s">
        <v>137</v>
      </c>
      <c r="K23" s="644"/>
      <c r="L23" s="644" t="s">
        <v>138</v>
      </c>
      <c r="M23" s="645"/>
    </row>
    <row r="24" spans="1:14" ht="18" customHeight="1" thickBot="1">
      <c r="A24" s="704"/>
      <c r="B24" s="260"/>
      <c r="C24" s="260"/>
      <c r="D24" s="260"/>
      <c r="E24" s="260"/>
      <c r="F24" s="260"/>
      <c r="G24" s="260"/>
      <c r="H24" s="261"/>
      <c r="J24" s="435"/>
      <c r="K24" s="436"/>
      <c r="L24" s="402"/>
      <c r="M24" s="742"/>
    </row>
    <row r="25" spans="1:14" ht="18" customHeight="1">
      <c r="A25" s="702">
        <v>2</v>
      </c>
      <c r="B25" s="317" t="s">
        <v>366</v>
      </c>
      <c r="C25" s="317" t="s">
        <v>364</v>
      </c>
      <c r="D25" s="319"/>
      <c r="E25" s="319" t="s">
        <v>51</v>
      </c>
      <c r="F25" s="317">
        <v>8</v>
      </c>
      <c r="G25" s="317"/>
      <c r="H25" s="317"/>
      <c r="J25" s="670"/>
      <c r="K25" s="671"/>
      <c r="L25" s="402"/>
      <c r="M25" s="742"/>
    </row>
    <row r="26" spans="1:14" ht="18" customHeight="1" thickBot="1">
      <c r="A26" s="703"/>
      <c r="B26" s="146"/>
      <c r="C26" s="146"/>
      <c r="D26" s="146"/>
      <c r="E26" s="146"/>
      <c r="F26" s="146"/>
      <c r="G26" s="146"/>
      <c r="H26" s="146"/>
      <c r="J26" s="672"/>
      <c r="K26" s="673"/>
      <c r="L26" s="738"/>
      <c r="M26" s="744"/>
    </row>
    <row r="27" spans="1:14" ht="18" customHeight="1">
      <c r="A27" s="703"/>
      <c r="B27" s="146"/>
      <c r="C27" s="146"/>
      <c r="D27" s="146"/>
      <c r="E27" s="146"/>
      <c r="F27" s="146"/>
      <c r="G27" s="146"/>
      <c r="H27" s="146"/>
      <c r="J27" s="348" t="s">
        <v>369</v>
      </c>
      <c r="K27" s="349"/>
      <c r="L27" s="349"/>
      <c r="M27" s="350"/>
    </row>
    <row r="28" spans="1:14" ht="18" customHeight="1">
      <c r="A28" s="703"/>
      <c r="B28" s="146"/>
      <c r="C28" s="146"/>
      <c r="D28" s="146"/>
      <c r="E28" s="146"/>
      <c r="F28" s="146"/>
      <c r="G28" s="146"/>
      <c r="H28" s="146"/>
      <c r="J28" s="643" t="s">
        <v>137</v>
      </c>
      <c r="K28" s="644"/>
      <c r="L28" s="644" t="s">
        <v>138</v>
      </c>
      <c r="M28" s="645"/>
    </row>
    <row r="29" spans="1:14" ht="18" customHeight="1">
      <c r="A29" s="703"/>
      <c r="B29" s="146"/>
      <c r="C29" s="146"/>
      <c r="D29" s="146"/>
      <c r="E29" s="146"/>
      <c r="F29" s="146"/>
      <c r="G29" s="146"/>
      <c r="H29" s="146"/>
      <c r="J29" s="435"/>
      <c r="K29" s="436"/>
      <c r="L29" s="402"/>
      <c r="M29" s="742"/>
    </row>
    <row r="30" spans="1:14" ht="18" customHeight="1" thickBot="1">
      <c r="A30" s="704"/>
      <c r="B30" s="260"/>
      <c r="C30" s="260"/>
      <c r="D30" s="260"/>
      <c r="E30" s="260"/>
      <c r="F30" s="260"/>
      <c r="G30" s="260"/>
      <c r="H30" s="260"/>
      <c r="J30" s="670"/>
      <c r="K30" s="671"/>
      <c r="L30" s="402"/>
      <c r="M30" s="742"/>
    </row>
    <row r="31" spans="1:14" ht="18" customHeight="1" thickBot="1">
      <c r="A31" s="746">
        <v>3</v>
      </c>
      <c r="B31" s="317" t="s">
        <v>393</v>
      </c>
      <c r="C31" s="321" t="s">
        <v>394</v>
      </c>
      <c r="D31" s="319"/>
      <c r="E31" s="319" t="s">
        <v>51</v>
      </c>
      <c r="F31" s="317">
        <v>8</v>
      </c>
      <c r="G31" s="307"/>
      <c r="H31" s="308"/>
      <c r="J31" s="672"/>
      <c r="K31" s="673"/>
      <c r="L31" s="738"/>
      <c r="M31" s="744"/>
      <c r="N31" s="201"/>
    </row>
    <row r="32" spans="1:14" ht="18" customHeight="1">
      <c r="A32" s="747"/>
      <c r="B32" s="146"/>
      <c r="C32" s="146"/>
      <c r="D32" s="146"/>
      <c r="E32" s="146"/>
      <c r="F32" s="146"/>
      <c r="G32" s="146"/>
      <c r="H32" s="259"/>
      <c r="J32" s="198" t="s">
        <v>32</v>
      </c>
      <c r="K32" s="103" t="s">
        <v>147</v>
      </c>
      <c r="L32" s="199" t="s">
        <v>193</v>
      </c>
      <c r="M32" s="200" t="s">
        <v>194</v>
      </c>
      <c r="N32" s="201"/>
    </row>
    <row r="33" spans="1:17" ht="19.95" customHeight="1">
      <c r="A33" s="747"/>
      <c r="B33" s="146"/>
      <c r="C33" s="146"/>
      <c r="D33" s="146"/>
      <c r="E33" s="146"/>
      <c r="F33" s="146"/>
      <c r="G33" s="146"/>
      <c r="H33" s="259"/>
      <c r="J33" s="140">
        <v>1</v>
      </c>
      <c r="K33" s="114"/>
      <c r="L33" s="114"/>
      <c r="M33" s="115"/>
      <c r="N33" s="202"/>
    </row>
    <row r="34" spans="1:17" ht="19.95" customHeight="1">
      <c r="A34" s="747"/>
      <c r="B34" s="146"/>
      <c r="C34" s="146"/>
      <c r="D34" s="146"/>
      <c r="E34" s="146"/>
      <c r="F34" s="146"/>
      <c r="G34" s="146"/>
      <c r="H34" s="259"/>
      <c r="J34" s="140">
        <v>2</v>
      </c>
      <c r="K34" s="114"/>
      <c r="L34" s="114"/>
      <c r="M34" s="115"/>
      <c r="N34" s="202"/>
    </row>
    <row r="35" spans="1:17" ht="19.95" customHeight="1">
      <c r="A35" s="747"/>
      <c r="B35" s="146"/>
      <c r="C35" s="146"/>
      <c r="D35" s="146"/>
      <c r="E35" s="146"/>
      <c r="F35" s="146"/>
      <c r="G35" s="146"/>
      <c r="H35" s="259"/>
      <c r="J35" s="140">
        <v>3</v>
      </c>
      <c r="K35" s="114"/>
      <c r="L35" s="114"/>
      <c r="M35" s="115"/>
      <c r="N35" s="202"/>
    </row>
    <row r="36" spans="1:17" ht="19.95" customHeight="1">
      <c r="A36" s="747"/>
      <c r="B36" s="146"/>
      <c r="C36" s="146"/>
      <c r="D36" s="146"/>
      <c r="E36" s="146"/>
      <c r="F36" s="146"/>
      <c r="G36" s="146"/>
      <c r="H36" s="259"/>
      <c r="J36" s="140">
        <v>4</v>
      </c>
      <c r="K36" s="114"/>
      <c r="L36" s="114"/>
      <c r="M36" s="115"/>
      <c r="N36" s="202"/>
    </row>
    <row r="37" spans="1:17" ht="19.95" customHeight="1">
      <c r="A37" s="747"/>
      <c r="B37" s="146"/>
      <c r="C37" s="146"/>
      <c r="D37" s="146"/>
      <c r="E37" s="146"/>
      <c r="F37" s="146"/>
      <c r="G37" s="146"/>
      <c r="H37" s="259"/>
      <c r="J37" s="140">
        <v>5</v>
      </c>
      <c r="K37" s="114"/>
      <c r="L37" s="114"/>
      <c r="M37" s="115"/>
      <c r="N37" s="202"/>
    </row>
    <row r="38" spans="1:17" ht="19.95" customHeight="1" thickBot="1">
      <c r="A38" s="747"/>
      <c r="B38" s="260"/>
      <c r="C38" s="260"/>
      <c r="D38" s="260"/>
      <c r="E38" s="260"/>
      <c r="F38" s="260"/>
      <c r="G38" s="260"/>
      <c r="H38" s="261"/>
      <c r="J38" s="165">
        <v>6</v>
      </c>
      <c r="K38" s="116"/>
      <c r="L38" s="116"/>
      <c r="M38" s="164"/>
      <c r="N38" s="202"/>
    </row>
    <row r="39" spans="1:17" ht="19.95" customHeight="1" thickBot="1">
      <c r="A39" s="107"/>
      <c r="B39" s="111"/>
      <c r="C39" s="338"/>
      <c r="D39" s="338"/>
      <c r="E39" s="263"/>
      <c r="F39" s="264"/>
      <c r="G39" s="265"/>
      <c r="H39" s="107"/>
      <c r="J39" s="92"/>
      <c r="K39" s="112"/>
      <c r="L39" s="92"/>
      <c r="M39" s="92"/>
      <c r="N39" s="201"/>
    </row>
    <row r="40" spans="1:17" ht="19.95" customHeight="1">
      <c r="A40" s="348" t="s">
        <v>32</v>
      </c>
      <c r="B40" s="349" t="s">
        <v>195</v>
      </c>
      <c r="C40" s="349"/>
      <c r="D40" s="352" t="s">
        <v>196</v>
      </c>
      <c r="E40" s="601" t="s">
        <v>197</v>
      </c>
      <c r="F40" s="601"/>
      <c r="G40" s="349" t="s">
        <v>35</v>
      </c>
      <c r="H40" s="350" t="s">
        <v>138</v>
      </c>
      <c r="J40" s="348" t="s">
        <v>198</v>
      </c>
      <c r="K40" s="352" t="s">
        <v>199</v>
      </c>
      <c r="L40" s="349" t="s">
        <v>200</v>
      </c>
      <c r="M40" s="350" t="s">
        <v>201</v>
      </c>
      <c r="N40" s="202"/>
    </row>
    <row r="41" spans="1:17" ht="19.95" customHeight="1">
      <c r="A41" s="643"/>
      <c r="B41" s="644"/>
      <c r="C41" s="644"/>
      <c r="D41" s="355"/>
      <c r="E41" s="184" t="s">
        <v>202</v>
      </c>
      <c r="F41" s="184" t="s">
        <v>202</v>
      </c>
      <c r="G41" s="644"/>
      <c r="H41" s="645"/>
      <c r="J41" s="643"/>
      <c r="K41" s="355"/>
      <c r="L41" s="644"/>
      <c r="M41" s="645"/>
      <c r="N41" s="202"/>
    </row>
    <row r="42" spans="1:17" ht="19.95" customHeight="1">
      <c r="A42" s="140">
        <v>1</v>
      </c>
      <c r="B42" s="733" t="s">
        <v>203</v>
      </c>
      <c r="C42" s="446"/>
      <c r="D42" s="149" t="s">
        <v>204</v>
      </c>
      <c r="E42" s="148"/>
      <c r="F42" s="230"/>
      <c r="G42" s="114" t="s">
        <v>140</v>
      </c>
      <c r="H42" s="115"/>
      <c r="J42" s="370"/>
      <c r="K42" s="371"/>
      <c r="L42" s="371"/>
      <c r="M42" s="646"/>
      <c r="N42" s="202"/>
    </row>
    <row r="43" spans="1:17" ht="19.95" customHeight="1">
      <c r="A43" s="140">
        <v>2</v>
      </c>
      <c r="B43" s="733" t="s">
        <v>205</v>
      </c>
      <c r="C43" s="446"/>
      <c r="D43" s="149" t="s">
        <v>206</v>
      </c>
      <c r="E43" s="148"/>
      <c r="F43" s="230"/>
      <c r="G43" s="114" t="s">
        <v>207</v>
      </c>
      <c r="H43" s="115"/>
      <c r="J43" s="370"/>
      <c r="K43" s="371"/>
      <c r="L43" s="371"/>
      <c r="M43" s="646"/>
      <c r="N43" s="202"/>
    </row>
    <row r="44" spans="1:17" ht="19.95" customHeight="1">
      <c r="A44" s="464">
        <v>3</v>
      </c>
      <c r="B44" s="760" t="s">
        <v>208</v>
      </c>
      <c r="C44" s="761"/>
      <c r="D44" s="458" t="s">
        <v>209</v>
      </c>
      <c r="E44" s="753"/>
      <c r="F44" s="753"/>
      <c r="G44" s="418" t="s">
        <v>210</v>
      </c>
      <c r="H44" s="427"/>
      <c r="J44" s="370"/>
      <c r="K44" s="371"/>
      <c r="L44" s="371"/>
      <c r="M44" s="646"/>
      <c r="N44" s="202"/>
    </row>
    <row r="45" spans="1:17" ht="19.95" customHeight="1">
      <c r="A45" s="748"/>
      <c r="B45" s="762"/>
      <c r="C45" s="763"/>
      <c r="D45" s="410"/>
      <c r="E45" s="754"/>
      <c r="F45" s="754"/>
      <c r="G45" s="419"/>
      <c r="H45" s="428"/>
      <c r="J45" s="370"/>
      <c r="K45" s="371"/>
      <c r="L45" s="371"/>
      <c r="M45" s="646"/>
      <c r="N45" s="202"/>
    </row>
    <row r="46" spans="1:17" ht="19.95" customHeight="1">
      <c r="A46" s="140"/>
      <c r="B46" s="733"/>
      <c r="C46" s="446"/>
      <c r="D46" s="149"/>
      <c r="E46" s="148"/>
      <c r="F46" s="230"/>
      <c r="G46" s="114"/>
      <c r="H46" s="115"/>
      <c r="J46" s="370"/>
      <c r="K46" s="371"/>
      <c r="L46" s="371"/>
      <c r="M46" s="646"/>
      <c r="N46" s="202"/>
      <c r="P46" s="107"/>
      <c r="Q46" s="107"/>
    </row>
    <row r="47" spans="1:17" ht="19.95" customHeight="1">
      <c r="A47" s="140"/>
      <c r="B47" s="733"/>
      <c r="C47" s="446"/>
      <c r="D47" s="149"/>
      <c r="E47" s="148"/>
      <c r="F47" s="230"/>
      <c r="G47" s="114"/>
      <c r="H47" s="115"/>
      <c r="J47" s="370"/>
      <c r="K47" s="371"/>
      <c r="L47" s="371"/>
      <c r="M47" s="646"/>
      <c r="N47" s="202"/>
      <c r="P47" s="107"/>
      <c r="Q47" s="107"/>
    </row>
    <row r="48" spans="1:17" ht="19.95" customHeight="1">
      <c r="A48" s="140"/>
      <c r="B48" s="733"/>
      <c r="C48" s="446"/>
      <c r="D48" s="149"/>
      <c r="E48" s="148"/>
      <c r="F48" s="230"/>
      <c r="G48" s="114"/>
      <c r="H48" s="115"/>
      <c r="J48" s="643"/>
      <c r="K48" s="644"/>
      <c r="L48" s="644"/>
      <c r="M48" s="645"/>
      <c r="N48" s="202"/>
      <c r="P48" s="107"/>
      <c r="Q48" s="107"/>
    </row>
    <row r="49" spans="1:17" ht="19.95" customHeight="1">
      <c r="A49" s="140"/>
      <c r="B49" s="733"/>
      <c r="C49" s="446"/>
      <c r="D49" s="149"/>
      <c r="E49" s="148"/>
      <c r="F49" s="230"/>
      <c r="G49" s="114"/>
      <c r="H49" s="115"/>
      <c r="J49" s="643"/>
      <c r="K49" s="644"/>
      <c r="L49" s="644"/>
      <c r="M49" s="645"/>
      <c r="N49" s="202"/>
      <c r="P49" s="107"/>
      <c r="Q49" s="107"/>
    </row>
    <row r="50" spans="1:17" ht="19.95" customHeight="1">
      <c r="A50" s="140"/>
      <c r="B50" s="733"/>
      <c r="C50" s="446"/>
      <c r="D50" s="149"/>
      <c r="E50" s="148"/>
      <c r="F50" s="230"/>
      <c r="G50" s="114"/>
      <c r="H50" s="115"/>
      <c r="J50" s="643"/>
      <c r="K50" s="644"/>
      <c r="L50" s="644"/>
      <c r="M50" s="645"/>
      <c r="N50" s="202"/>
      <c r="P50" s="107"/>
      <c r="Q50" s="107"/>
    </row>
    <row r="51" spans="1:17" ht="19.95" customHeight="1">
      <c r="A51" s="165"/>
      <c r="B51" s="759"/>
      <c r="C51" s="447"/>
      <c r="D51" s="232"/>
      <c r="E51" s="194"/>
      <c r="F51" s="219"/>
      <c r="G51" s="116"/>
      <c r="H51" s="164"/>
      <c r="J51" s="723"/>
      <c r="K51" s="659"/>
      <c r="L51" s="659"/>
      <c r="M51" s="429"/>
      <c r="N51" s="202"/>
      <c r="P51" s="107"/>
      <c r="Q51" s="107"/>
    </row>
    <row r="52" spans="1:17" ht="19.95" customHeight="1">
      <c r="A52" s="107"/>
      <c r="B52" s="338"/>
      <c r="C52" s="338"/>
      <c r="D52" s="111"/>
      <c r="E52" s="111"/>
      <c r="F52" s="233"/>
      <c r="G52" s="107"/>
      <c r="H52" s="107"/>
      <c r="J52" s="92"/>
      <c r="K52" s="92"/>
      <c r="L52" s="92"/>
      <c r="M52" s="92"/>
      <c r="N52" s="202"/>
      <c r="P52" s="338"/>
      <c r="Q52" s="338"/>
    </row>
    <row r="53" spans="1:17" ht="19.95" customHeight="1">
      <c r="A53" s="348" t="s">
        <v>32</v>
      </c>
      <c r="B53" s="349" t="s">
        <v>211</v>
      </c>
      <c r="C53" s="349"/>
      <c r="D53" s="352" t="s">
        <v>196</v>
      </c>
      <c r="E53" s="601" t="s">
        <v>197</v>
      </c>
      <c r="F53" s="601"/>
      <c r="G53" s="349" t="s">
        <v>35</v>
      </c>
      <c r="H53" s="350" t="s">
        <v>138</v>
      </c>
      <c r="J53" s="348" t="s">
        <v>149</v>
      </c>
      <c r="K53" s="349"/>
      <c r="L53" s="349"/>
      <c r="M53" s="350"/>
      <c r="N53" s="202"/>
      <c r="P53" s="338"/>
      <c r="Q53" s="338"/>
    </row>
    <row r="54" spans="1:17" ht="19.95" customHeight="1">
      <c r="A54" s="643"/>
      <c r="B54" s="644"/>
      <c r="C54" s="644"/>
      <c r="D54" s="355"/>
      <c r="E54" s="184" t="s">
        <v>202</v>
      </c>
      <c r="F54" s="184" t="s">
        <v>202</v>
      </c>
      <c r="G54" s="644"/>
      <c r="H54" s="645"/>
      <c r="J54" s="730"/>
      <c r="K54" s="731"/>
      <c r="L54" s="731"/>
      <c r="M54" s="732"/>
      <c r="N54" s="202"/>
      <c r="P54" s="107"/>
      <c r="Q54" s="107"/>
    </row>
    <row r="55" spans="1:17" ht="19.95" customHeight="1">
      <c r="A55" s="140">
        <v>1</v>
      </c>
      <c r="B55" s="733" t="s">
        <v>212</v>
      </c>
      <c r="C55" s="446"/>
      <c r="D55" s="148" t="s">
        <v>213</v>
      </c>
      <c r="E55" s="148"/>
      <c r="F55" s="230"/>
      <c r="G55" s="114"/>
      <c r="H55" s="115"/>
      <c r="J55" s="734"/>
      <c r="K55" s="735"/>
      <c r="L55" s="735"/>
      <c r="M55" s="736"/>
      <c r="N55" s="202"/>
      <c r="P55" s="107"/>
      <c r="Q55" s="107"/>
    </row>
    <row r="56" spans="1:17" ht="19.95" customHeight="1">
      <c r="A56" s="140">
        <v>2</v>
      </c>
      <c r="B56" s="733" t="s">
        <v>214</v>
      </c>
      <c r="C56" s="446"/>
      <c r="D56" s="148" t="s">
        <v>215</v>
      </c>
      <c r="E56" s="148"/>
      <c r="F56" s="230"/>
      <c r="G56" s="114"/>
      <c r="H56" s="115"/>
      <c r="J56" s="734"/>
      <c r="K56" s="735"/>
      <c r="L56" s="735"/>
      <c r="M56" s="736"/>
      <c r="N56" s="202"/>
      <c r="P56" s="107"/>
      <c r="Q56" s="107"/>
    </row>
    <row r="57" spans="1:17" ht="19.95" customHeight="1">
      <c r="A57" s="140">
        <v>3</v>
      </c>
      <c r="B57" s="733" t="s">
        <v>216</v>
      </c>
      <c r="C57" s="446"/>
      <c r="D57" s="148" t="s">
        <v>217</v>
      </c>
      <c r="E57" s="148"/>
      <c r="F57" s="230"/>
      <c r="G57" s="114"/>
      <c r="H57" s="115"/>
      <c r="J57" s="734"/>
      <c r="K57" s="735"/>
      <c r="L57" s="735"/>
      <c r="M57" s="736"/>
      <c r="N57" s="202"/>
      <c r="P57" s="107"/>
      <c r="Q57" s="107"/>
    </row>
    <row r="58" spans="1:17" ht="19.95" customHeight="1">
      <c r="A58" s="464">
        <v>4</v>
      </c>
      <c r="B58" s="760" t="s">
        <v>218</v>
      </c>
      <c r="C58" s="761"/>
      <c r="D58" s="750" t="s">
        <v>219</v>
      </c>
      <c r="E58" s="724"/>
      <c r="F58" s="724"/>
      <c r="G58" s="724"/>
      <c r="H58" s="727"/>
      <c r="J58" s="734"/>
      <c r="K58" s="735"/>
      <c r="L58" s="735"/>
      <c r="M58" s="736"/>
      <c r="N58" s="202"/>
      <c r="P58" s="107"/>
      <c r="Q58" s="107"/>
    </row>
    <row r="59" spans="1:17" ht="19.95" customHeight="1">
      <c r="A59" s="457"/>
      <c r="B59" s="764"/>
      <c r="C59" s="456"/>
      <c r="D59" s="751"/>
      <c r="E59" s="725"/>
      <c r="F59" s="725"/>
      <c r="G59" s="725"/>
      <c r="H59" s="728"/>
      <c r="J59" s="734"/>
      <c r="K59" s="735"/>
      <c r="L59" s="735"/>
      <c r="M59" s="736"/>
      <c r="N59" s="202"/>
      <c r="P59" s="107"/>
      <c r="Q59" s="107"/>
    </row>
    <row r="60" spans="1:17" ht="19.95" customHeight="1">
      <c r="A60" s="457"/>
      <c r="B60" s="764"/>
      <c r="C60" s="456"/>
      <c r="D60" s="751"/>
      <c r="E60" s="725"/>
      <c r="F60" s="725"/>
      <c r="G60" s="725"/>
      <c r="H60" s="728"/>
      <c r="J60" s="734"/>
      <c r="K60" s="735"/>
      <c r="L60" s="735"/>
      <c r="M60" s="736"/>
      <c r="N60" s="202"/>
      <c r="P60" s="107"/>
      <c r="Q60" s="107"/>
    </row>
    <row r="61" spans="1:17" ht="19.95" customHeight="1">
      <c r="A61" s="749"/>
      <c r="B61" s="765"/>
      <c r="C61" s="766"/>
      <c r="D61" s="752"/>
      <c r="E61" s="726"/>
      <c r="F61" s="726"/>
      <c r="G61" s="726"/>
      <c r="H61" s="729"/>
      <c r="J61" s="755"/>
      <c r="K61" s="756"/>
      <c r="L61" s="756"/>
      <c r="M61" s="757"/>
      <c r="N61" s="202"/>
      <c r="P61" s="107"/>
      <c r="Q61" s="107"/>
    </row>
    <row r="62" spans="1:17" ht="18" customHeight="1">
      <c r="B62" s="207"/>
      <c r="C62" s="208"/>
      <c r="D62" s="208"/>
      <c r="E62" s="208"/>
      <c r="F62" s="208"/>
      <c r="G62" s="208"/>
      <c r="H62" s="208"/>
      <c r="N62" s="202"/>
      <c r="P62" s="107"/>
      <c r="Q62" s="107"/>
    </row>
    <row r="63" spans="1:17" ht="18" customHeight="1">
      <c r="A63" s="758" t="s">
        <v>220</v>
      </c>
      <c r="B63" s="393"/>
      <c r="C63" s="393"/>
      <c r="D63" s="393"/>
      <c r="E63" s="393"/>
      <c r="F63" s="393"/>
      <c r="G63" s="393"/>
      <c r="H63" s="666"/>
      <c r="I63" s="107"/>
      <c r="J63" s="351" t="s">
        <v>367</v>
      </c>
      <c r="K63" s="352"/>
      <c r="L63" s="352" t="s">
        <v>368</v>
      </c>
      <c r="M63" s="353"/>
    </row>
    <row r="64" spans="1:17" ht="18" customHeight="1">
      <c r="A64" s="627" t="s">
        <v>174</v>
      </c>
      <c r="B64" s="586"/>
      <c r="C64" s="586"/>
      <c r="D64" s="628"/>
      <c r="E64" s="585" t="s">
        <v>223</v>
      </c>
      <c r="F64" s="586"/>
      <c r="G64" s="586"/>
      <c r="H64" s="587"/>
      <c r="J64" s="354"/>
      <c r="K64" s="355"/>
      <c r="L64" s="355"/>
      <c r="M64" s="356"/>
    </row>
    <row r="65" spans="1:13" ht="18" customHeight="1">
      <c r="A65" s="435"/>
      <c r="B65" s="737"/>
      <c r="C65" s="737"/>
      <c r="D65" s="436"/>
      <c r="E65" s="739"/>
      <c r="F65" s="737"/>
      <c r="G65" s="737"/>
      <c r="H65" s="740"/>
      <c r="J65" s="354"/>
      <c r="K65" s="355"/>
      <c r="L65" s="355"/>
      <c r="M65" s="356"/>
    </row>
    <row r="66" spans="1:13" ht="18" customHeight="1">
      <c r="A66" s="670"/>
      <c r="B66" s="402"/>
      <c r="C66" s="402"/>
      <c r="D66" s="671"/>
      <c r="E66" s="741"/>
      <c r="F66" s="402"/>
      <c r="G66" s="402"/>
      <c r="H66" s="742"/>
      <c r="J66" s="354"/>
      <c r="K66" s="355"/>
      <c r="L66" s="355"/>
      <c r="M66" s="356"/>
    </row>
    <row r="67" spans="1:13" ht="18" customHeight="1">
      <c r="A67" s="672"/>
      <c r="B67" s="738"/>
      <c r="C67" s="738"/>
      <c r="D67" s="673"/>
      <c r="E67" s="743"/>
      <c r="F67" s="738"/>
      <c r="G67" s="738"/>
      <c r="H67" s="744"/>
      <c r="J67" s="357"/>
      <c r="K67" s="358"/>
      <c r="L67" s="358"/>
      <c r="M67" s="359"/>
    </row>
    <row r="70" spans="1:13">
      <c r="D70" s="402"/>
      <c r="E70" s="402"/>
      <c r="F70" s="402"/>
      <c r="G70" s="402"/>
    </row>
    <row r="71" spans="1:13">
      <c r="B71" s="338"/>
      <c r="C71" s="338"/>
      <c r="D71" s="624"/>
      <c r="E71" s="624"/>
      <c r="F71" s="624"/>
      <c r="G71" s="624"/>
    </row>
    <row r="72" spans="1:13">
      <c r="B72" s="338"/>
      <c r="C72" s="338"/>
      <c r="D72" s="624"/>
      <c r="E72" s="624"/>
      <c r="F72" s="625"/>
      <c r="G72" s="625"/>
    </row>
    <row r="73" spans="1:13">
      <c r="B73" s="338"/>
      <c r="C73" s="338"/>
      <c r="D73" s="624"/>
      <c r="E73" s="624"/>
      <c r="F73" s="626"/>
      <c r="G73" s="626"/>
    </row>
    <row r="74" spans="1:13">
      <c r="B74" s="338"/>
      <c r="C74" s="338"/>
      <c r="D74" s="624"/>
      <c r="E74" s="624"/>
      <c r="F74" s="624"/>
      <c r="G74" s="624"/>
    </row>
    <row r="75" spans="1:13">
      <c r="B75" s="338"/>
      <c r="C75" s="338"/>
      <c r="D75" s="624"/>
      <c r="E75" s="624"/>
      <c r="F75" s="624"/>
      <c r="G75" s="624"/>
    </row>
    <row r="76" spans="1:13">
      <c r="B76" s="338"/>
      <c r="C76" s="338"/>
      <c r="D76" s="624"/>
      <c r="E76" s="624"/>
      <c r="F76" s="626"/>
      <c r="G76" s="626"/>
    </row>
    <row r="77" spans="1:13">
      <c r="B77" s="338"/>
      <c r="C77" s="338"/>
      <c r="D77" s="624"/>
      <c r="E77" s="624"/>
      <c r="F77" s="626"/>
      <c r="G77" s="626"/>
    </row>
    <row r="78" spans="1:13">
      <c r="B78" s="338"/>
      <c r="C78" s="338"/>
      <c r="D78" s="624"/>
      <c r="E78" s="624"/>
      <c r="F78" s="626"/>
      <c r="G78" s="626"/>
    </row>
    <row r="79" spans="1:13">
      <c r="B79" s="338"/>
      <c r="C79" s="338"/>
      <c r="D79" s="624"/>
      <c r="E79" s="624"/>
      <c r="F79" s="632"/>
      <c r="G79" s="632"/>
    </row>
  </sheetData>
  <mergeCells count="162">
    <mergeCell ref="J24:K26"/>
    <mergeCell ref="L24:M26"/>
    <mergeCell ref="J27:M27"/>
    <mergeCell ref="B44:C45"/>
    <mergeCell ref="J17:K20"/>
    <mergeCell ref="L17:M20"/>
    <mergeCell ref="B58:C61"/>
    <mergeCell ref="J63:K64"/>
    <mergeCell ref="L63:M64"/>
    <mergeCell ref="J21:M21"/>
    <mergeCell ref="J22:M22"/>
    <mergeCell ref="J23:K23"/>
    <mergeCell ref="L23:M23"/>
    <mergeCell ref="C39:D39"/>
    <mergeCell ref="E40:F40"/>
    <mergeCell ref="B42:C42"/>
    <mergeCell ref="B43:C43"/>
    <mergeCell ref="H40:H41"/>
    <mergeCell ref="J40:J41"/>
    <mergeCell ref="J42:J43"/>
    <mergeCell ref="K40:K41"/>
    <mergeCell ref="K42:K43"/>
    <mergeCell ref="L40:L41"/>
    <mergeCell ref="B46:C46"/>
    <mergeCell ref="L28:M28"/>
    <mergeCell ref="J29:K31"/>
    <mergeCell ref="L29:M31"/>
    <mergeCell ref="J61:M61"/>
    <mergeCell ref="A63:H63"/>
    <mergeCell ref="A64:D64"/>
    <mergeCell ref="E64:H64"/>
    <mergeCell ref="B47:C47"/>
    <mergeCell ref="B48:C48"/>
    <mergeCell ref="B49:C49"/>
    <mergeCell ref="B50:C50"/>
    <mergeCell ref="B51:C51"/>
    <mergeCell ref="B52:C52"/>
    <mergeCell ref="L42:L43"/>
    <mergeCell ref="L44:L45"/>
    <mergeCell ref="M40:M41"/>
    <mergeCell ref="M42:M43"/>
    <mergeCell ref="M44:M45"/>
    <mergeCell ref="B40:C41"/>
    <mergeCell ref="H44:H45"/>
    <mergeCell ref="J44:J45"/>
    <mergeCell ref="K44:K45"/>
    <mergeCell ref="J28:K28"/>
    <mergeCell ref="B78:C78"/>
    <mergeCell ref="D78:E78"/>
    <mergeCell ref="F78:G78"/>
    <mergeCell ref="B79:C79"/>
    <mergeCell ref="D79:E79"/>
    <mergeCell ref="F79:G79"/>
    <mergeCell ref="A18:A20"/>
    <mergeCell ref="A31:A38"/>
    <mergeCell ref="A40:A41"/>
    <mergeCell ref="A44:A45"/>
    <mergeCell ref="A53:A54"/>
    <mergeCell ref="A58:A61"/>
    <mergeCell ref="B18:B19"/>
    <mergeCell ref="D40:D41"/>
    <mergeCell ref="D44:D45"/>
    <mergeCell ref="D53:D54"/>
    <mergeCell ref="D58:D61"/>
    <mergeCell ref="E44:E45"/>
    <mergeCell ref="E58:E61"/>
    <mergeCell ref="F44:F45"/>
    <mergeCell ref="F58:F61"/>
    <mergeCell ref="G40:G41"/>
    <mergeCell ref="G44:G45"/>
    <mergeCell ref="B75:C75"/>
    <mergeCell ref="D75:E75"/>
    <mergeCell ref="F75:G75"/>
    <mergeCell ref="B76:C76"/>
    <mergeCell ref="D76:E76"/>
    <mergeCell ref="F76:G76"/>
    <mergeCell ref="B77:C77"/>
    <mergeCell ref="D77:E77"/>
    <mergeCell ref="F77:G77"/>
    <mergeCell ref="B72:C72"/>
    <mergeCell ref="D72:E72"/>
    <mergeCell ref="F72:G72"/>
    <mergeCell ref="B73:C73"/>
    <mergeCell ref="D73:E73"/>
    <mergeCell ref="F73:G73"/>
    <mergeCell ref="B74:C74"/>
    <mergeCell ref="D74:E74"/>
    <mergeCell ref="F74:G74"/>
    <mergeCell ref="D70:E70"/>
    <mergeCell ref="F70:G70"/>
    <mergeCell ref="B71:C71"/>
    <mergeCell ref="D71:E71"/>
    <mergeCell ref="F71:G71"/>
    <mergeCell ref="G58:G61"/>
    <mergeCell ref="H58:H61"/>
    <mergeCell ref="J54:M54"/>
    <mergeCell ref="B55:C55"/>
    <mergeCell ref="J55:M55"/>
    <mergeCell ref="B56:C56"/>
    <mergeCell ref="J56:M56"/>
    <mergeCell ref="B57:C57"/>
    <mergeCell ref="J57:M57"/>
    <mergeCell ref="J58:M58"/>
    <mergeCell ref="J59:M59"/>
    <mergeCell ref="G53:G54"/>
    <mergeCell ref="H53:H54"/>
    <mergeCell ref="B53:C54"/>
    <mergeCell ref="A65:D67"/>
    <mergeCell ref="E65:H67"/>
    <mergeCell ref="J65:K67"/>
    <mergeCell ref="L65:M67"/>
    <mergeCell ref="J60:M60"/>
    <mergeCell ref="P52:Q52"/>
    <mergeCell ref="E53:F53"/>
    <mergeCell ref="J53:M53"/>
    <mergeCell ref="P53:Q53"/>
    <mergeCell ref="J46:J47"/>
    <mergeCell ref="J48:J49"/>
    <mergeCell ref="J50:J51"/>
    <mergeCell ref="K46:K47"/>
    <mergeCell ref="K48:K49"/>
    <mergeCell ref="K50:K51"/>
    <mergeCell ref="L46:L47"/>
    <mergeCell ref="L48:L49"/>
    <mergeCell ref="L50:L51"/>
    <mergeCell ref="M46:M47"/>
    <mergeCell ref="M48:M49"/>
    <mergeCell ref="M50:M51"/>
    <mergeCell ref="A13:B13"/>
    <mergeCell ref="C13:G13"/>
    <mergeCell ref="H13:M13"/>
    <mergeCell ref="A15:H15"/>
    <mergeCell ref="J15:M15"/>
    <mergeCell ref="C16:D16"/>
    <mergeCell ref="E16:F16"/>
    <mergeCell ref="G16:H16"/>
    <mergeCell ref="J16:K16"/>
    <mergeCell ref="L16:M16"/>
    <mergeCell ref="A21:A24"/>
    <mergeCell ref="A25:A30"/>
    <mergeCell ref="K1:M1"/>
    <mergeCell ref="K2:M2"/>
    <mergeCell ref="K3:M3"/>
    <mergeCell ref="A5:B5"/>
    <mergeCell ref="C5:H5"/>
    <mergeCell ref="A6:B6"/>
    <mergeCell ref="C6:H6"/>
    <mergeCell ref="A7:B7"/>
    <mergeCell ref="C7:H7"/>
    <mergeCell ref="A1:B3"/>
    <mergeCell ref="C1:J3"/>
    <mergeCell ref="A8:B8"/>
    <mergeCell ref="C8:H8"/>
    <mergeCell ref="A10:B10"/>
    <mergeCell ref="C10:G10"/>
    <mergeCell ref="H10:M10"/>
    <mergeCell ref="A11:B11"/>
    <mergeCell ref="C11:G11"/>
    <mergeCell ref="H11:M11"/>
    <mergeCell ref="A12:B12"/>
    <mergeCell ref="C12:G12"/>
    <mergeCell ref="H12:M12"/>
  </mergeCells>
  <conditionalFormatting sqref="C39">
    <cfRule type="duplicateValues" dxfId="59" priority="61" stopIfTrue="1"/>
    <cfRule type="duplicateValues" dxfId="58" priority="62" stopIfTrue="1"/>
    <cfRule type="duplicateValues" dxfId="57" priority="63" stopIfTrue="1"/>
    <cfRule type="duplicateValues" dxfId="56" priority="64" stopIfTrue="1"/>
    <cfRule type="duplicateValues" dxfId="55" priority="65" stopIfTrue="1"/>
    <cfRule type="duplicateValues" dxfId="54" priority="66" stopIfTrue="1"/>
  </conditionalFormatting>
  <printOptions horizontalCentered="1"/>
  <pageMargins left="0.23622047244094499" right="0.23622047244094499" top="0.39305555555555599" bottom="0.31458333333333299" header="0.31496062992126" footer="0.31496062992126"/>
  <pageSetup paperSize="9" scale="61" orientation="portrait" horizontalDpi="300" verticalDpi="30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00B0F0"/>
    <pageSetUpPr fitToPage="1"/>
  </sheetPr>
  <dimension ref="A1:X263"/>
  <sheetViews>
    <sheetView showGridLines="0" view="pageBreakPreview" topLeftCell="A24" zoomScale="85" zoomScaleNormal="100" zoomScalePageLayoutView="85" workbookViewId="0">
      <selection activeCell="F24" sqref="F24"/>
    </sheetView>
  </sheetViews>
  <sheetFormatPr defaultColWidth="8.88671875" defaultRowHeight="14.4"/>
  <cols>
    <col min="1" max="1" width="4" style="2" customWidth="1"/>
    <col min="2" max="2" width="16.44140625" style="2" customWidth="1"/>
    <col min="3" max="3" width="12.5546875" style="2" customWidth="1"/>
    <col min="4" max="4" width="16.44140625" style="2" customWidth="1"/>
    <col min="5" max="6" width="10.44140625" style="2" customWidth="1"/>
    <col min="7" max="8" width="10.33203125" style="2" customWidth="1"/>
    <col min="9" max="9" width="1.77734375" style="2" customWidth="1"/>
    <col min="10" max="10" width="10.109375" style="2" customWidth="1"/>
    <col min="11" max="11" width="11.109375" style="2" customWidth="1"/>
    <col min="12" max="12" width="9.88671875" style="2" customWidth="1"/>
    <col min="13" max="13" width="8.88671875" style="2" customWidth="1"/>
    <col min="14" max="14" width="8.88671875" style="2"/>
    <col min="15" max="15" width="9.88671875" style="2" customWidth="1"/>
    <col min="16" max="16" width="50.6640625" style="2" customWidth="1"/>
    <col min="17" max="17" width="35.5546875" style="2" customWidth="1"/>
    <col min="18" max="16384" width="8.88671875" style="2"/>
  </cols>
  <sheetData>
    <row r="1" spans="1:24" ht="19.05" customHeight="1">
      <c r="A1" s="771"/>
      <c r="B1" s="772"/>
      <c r="C1" s="777" t="s">
        <v>178</v>
      </c>
      <c r="D1" s="778"/>
      <c r="E1" s="778"/>
      <c r="F1" s="778"/>
      <c r="G1" s="778"/>
      <c r="H1" s="778"/>
      <c r="I1" s="778"/>
      <c r="J1" s="779"/>
      <c r="K1" s="468" t="s">
        <v>179</v>
      </c>
      <c r="L1" s="469"/>
      <c r="M1" s="470"/>
      <c r="O1" s="1"/>
      <c r="P1" s="1"/>
      <c r="Q1" s="1"/>
      <c r="R1" s="1"/>
      <c r="S1" s="1"/>
      <c r="T1" s="1"/>
    </row>
    <row r="2" spans="1:24" ht="19.05" customHeight="1">
      <c r="A2" s="773"/>
      <c r="B2" s="774"/>
      <c r="C2" s="780"/>
      <c r="D2" s="781"/>
      <c r="E2" s="781"/>
      <c r="F2" s="781"/>
      <c r="G2" s="781"/>
      <c r="H2" s="781"/>
      <c r="I2" s="781"/>
      <c r="J2" s="782"/>
      <c r="K2" s="471" t="s">
        <v>114</v>
      </c>
      <c r="L2" s="472"/>
      <c r="M2" s="473"/>
      <c r="O2" s="1"/>
      <c r="P2" s="1"/>
      <c r="Q2" s="1"/>
      <c r="R2" s="1"/>
      <c r="S2" s="1"/>
      <c r="T2" s="1"/>
    </row>
    <row r="3" spans="1:24" ht="19.05" customHeight="1">
      <c r="A3" s="775"/>
      <c r="B3" s="776"/>
      <c r="C3" s="783"/>
      <c r="D3" s="784"/>
      <c r="E3" s="784"/>
      <c r="F3" s="784"/>
      <c r="G3" s="784"/>
      <c r="H3" s="784"/>
      <c r="I3" s="784"/>
      <c r="J3" s="785"/>
      <c r="K3" s="474" t="s">
        <v>115</v>
      </c>
      <c r="L3" s="475"/>
      <c r="M3" s="476"/>
      <c r="O3" s="1"/>
      <c r="P3" s="47"/>
      <c r="Q3" s="47"/>
      <c r="R3" s="1"/>
      <c r="S3" s="69"/>
      <c r="T3" s="1"/>
    </row>
    <row r="4" spans="1:24" ht="15" customHeight="1">
      <c r="A4" s="3"/>
      <c r="C4" s="4"/>
      <c r="O4" s="1"/>
      <c r="P4" s="47"/>
      <c r="Q4" s="47"/>
      <c r="R4" s="1"/>
      <c r="S4" s="69"/>
      <c r="T4" s="1"/>
    </row>
    <row r="5" spans="1:24" ht="15" customHeight="1">
      <c r="A5" s="767" t="s">
        <v>116</v>
      </c>
      <c r="B5" s="767"/>
      <c r="C5" s="768"/>
      <c r="D5" s="768"/>
      <c r="E5" s="768"/>
      <c r="F5" s="768"/>
      <c r="G5" s="768"/>
      <c r="H5" s="768"/>
      <c r="I5" s="48" t="s">
        <v>3</v>
      </c>
      <c r="J5" s="48"/>
      <c r="K5" s="49" t="str">
        <f>'In 2'!K5</f>
        <v>SX2607045</v>
      </c>
      <c r="L5" s="7"/>
      <c r="M5" s="50"/>
      <c r="O5" s="1"/>
      <c r="P5" s="47"/>
      <c r="Q5" s="47"/>
      <c r="R5" s="1"/>
      <c r="S5" s="69"/>
      <c r="T5" s="1"/>
      <c r="U5" s="2" t="s">
        <v>180</v>
      </c>
      <c r="V5" s="2" t="s">
        <v>181</v>
      </c>
      <c r="W5" s="2" t="s">
        <v>182</v>
      </c>
      <c r="X5" s="2" t="s">
        <v>183</v>
      </c>
    </row>
    <row r="6" spans="1:24" s="1" customFormat="1" ht="15" customHeight="1">
      <c r="A6" s="769" t="s">
        <v>117</v>
      </c>
      <c r="B6" s="769"/>
      <c r="C6" s="770"/>
      <c r="D6" s="770"/>
      <c r="E6" s="770"/>
      <c r="F6" s="770"/>
      <c r="G6" s="770"/>
      <c r="H6" s="770"/>
      <c r="I6" s="48" t="s">
        <v>184</v>
      </c>
      <c r="J6" s="48"/>
      <c r="K6" s="6" t="s">
        <v>119</v>
      </c>
      <c r="L6" s="7"/>
      <c r="M6" s="7"/>
      <c r="P6" s="47"/>
      <c r="Q6" s="47"/>
      <c r="S6" s="69"/>
    </row>
    <row r="7" spans="1:24" s="1" customFormat="1" ht="15" customHeight="1">
      <c r="A7" s="769" t="s">
        <v>120</v>
      </c>
      <c r="B7" s="769"/>
      <c r="C7" s="770"/>
      <c r="D7" s="770"/>
      <c r="E7" s="770"/>
      <c r="F7" s="770"/>
      <c r="G7" s="770"/>
      <c r="H7" s="770"/>
      <c r="I7" s="5" t="s">
        <v>121</v>
      </c>
      <c r="J7" s="5"/>
      <c r="K7" s="51" t="str">
        <f>'[2]Dệt mành'!J8</f>
        <v>…..h…..;….../….../2023</v>
      </c>
      <c r="L7" s="7"/>
      <c r="M7" s="7"/>
      <c r="P7" s="47"/>
      <c r="Q7" s="47"/>
      <c r="S7" s="69"/>
    </row>
    <row r="8" spans="1:24" s="1" customFormat="1" ht="20.399999999999999" customHeight="1">
      <c r="A8" s="769" t="s">
        <v>123</v>
      </c>
      <c r="B8" s="769"/>
      <c r="C8" s="768"/>
      <c r="D8" s="768"/>
      <c r="E8" s="768"/>
      <c r="F8" s="768"/>
      <c r="G8" s="768"/>
      <c r="H8" s="768"/>
      <c r="I8" s="5" t="s">
        <v>124</v>
      </c>
      <c r="J8" s="5"/>
      <c r="K8" s="6" t="str">
        <f>'[2]Dệt mành'!J9</f>
        <v>…..h…..;….../….../2023</v>
      </c>
      <c r="L8" s="7"/>
      <c r="M8" s="7"/>
      <c r="P8" s="47"/>
      <c r="Q8" s="47"/>
      <c r="S8" s="69"/>
    </row>
    <row r="9" spans="1:24" s="1" customFormat="1" ht="15" customHeight="1">
      <c r="A9" s="6"/>
      <c r="B9" s="6"/>
      <c r="C9" s="6"/>
      <c r="D9" s="6"/>
      <c r="E9" s="6"/>
      <c r="F9" s="7"/>
      <c r="G9" s="7"/>
      <c r="H9" s="7"/>
      <c r="I9" s="6"/>
      <c r="J9" s="7"/>
      <c r="K9" s="6"/>
      <c r="L9" s="7"/>
      <c r="M9" s="7"/>
      <c r="P9" s="47"/>
      <c r="Q9" s="47"/>
      <c r="S9" s="69"/>
    </row>
    <row r="10" spans="1:24" s="1" customFormat="1" ht="19.05" customHeight="1">
      <c r="A10" s="786"/>
      <c r="B10" s="787"/>
      <c r="C10" s="788" t="s">
        <v>125</v>
      </c>
      <c r="D10" s="788"/>
      <c r="E10" s="788"/>
      <c r="F10" s="788"/>
      <c r="G10" s="788"/>
      <c r="H10" s="788" t="s">
        <v>126</v>
      </c>
      <c r="I10" s="788"/>
      <c r="J10" s="788"/>
      <c r="K10" s="788"/>
      <c r="L10" s="788"/>
      <c r="M10" s="789"/>
      <c r="N10" s="52"/>
      <c r="P10" s="47"/>
      <c r="Q10" s="47"/>
      <c r="S10" s="69"/>
    </row>
    <row r="11" spans="1:24" s="1" customFormat="1" ht="19.05" customHeight="1">
      <c r="A11" s="790" t="s">
        <v>127</v>
      </c>
      <c r="B11" s="791"/>
      <c r="C11" s="792" t="s">
        <v>23</v>
      </c>
      <c r="D11" s="792"/>
      <c r="E11" s="792"/>
      <c r="F11" s="792"/>
      <c r="G11" s="792"/>
      <c r="H11" s="792" t="s">
        <v>128</v>
      </c>
      <c r="I11" s="792"/>
      <c r="J11" s="792"/>
      <c r="K11" s="792"/>
      <c r="L11" s="792"/>
      <c r="M11" s="793"/>
      <c r="N11" s="52"/>
      <c r="P11" s="47"/>
      <c r="Q11" s="47"/>
      <c r="S11" s="69"/>
    </row>
    <row r="12" spans="1:24" s="1" customFormat="1" ht="19.05" customHeight="1">
      <c r="A12" s="790" t="s">
        <v>129</v>
      </c>
      <c r="B12" s="791"/>
      <c r="C12" s="792" t="s">
        <v>130</v>
      </c>
      <c r="D12" s="792"/>
      <c r="E12" s="792"/>
      <c r="F12" s="792"/>
      <c r="G12" s="792"/>
      <c r="H12" s="792" t="s">
        <v>131</v>
      </c>
      <c r="I12" s="792"/>
      <c r="J12" s="792"/>
      <c r="K12" s="792"/>
      <c r="L12" s="792"/>
      <c r="M12" s="793"/>
      <c r="N12" s="52"/>
      <c r="P12" s="47"/>
      <c r="Q12" s="47"/>
      <c r="S12" s="69"/>
    </row>
    <row r="13" spans="1:24" s="1" customFormat="1" ht="19.05" customHeight="1">
      <c r="A13" s="794" t="s">
        <v>132</v>
      </c>
      <c r="B13" s="795"/>
      <c r="C13" s="796"/>
      <c r="D13" s="796"/>
      <c r="E13" s="796"/>
      <c r="F13" s="796"/>
      <c r="G13" s="796"/>
      <c r="H13" s="796"/>
      <c r="I13" s="796"/>
      <c r="J13" s="796"/>
      <c r="K13" s="796"/>
      <c r="L13" s="796"/>
      <c r="M13" s="797"/>
      <c r="N13" s="52"/>
      <c r="P13" s="47"/>
      <c r="Q13" s="47"/>
      <c r="S13" s="69"/>
    </row>
    <row r="14" spans="1:24" s="1" customFormat="1" ht="15.6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P14" s="47"/>
      <c r="Q14" s="47"/>
      <c r="S14" s="69"/>
    </row>
    <row r="15" spans="1:24" s="1" customFormat="1" ht="24" customHeight="1">
      <c r="A15" s="492" t="s">
        <v>224</v>
      </c>
      <c r="B15" s="798"/>
      <c r="C15" s="798"/>
      <c r="D15" s="798"/>
      <c r="E15" s="798"/>
      <c r="F15" s="798"/>
      <c r="G15" s="798"/>
      <c r="H15" s="799"/>
      <c r="I15" s="7"/>
      <c r="J15" s="800" t="s">
        <v>185</v>
      </c>
      <c r="K15" s="788"/>
      <c r="L15" s="788"/>
      <c r="M15" s="789"/>
      <c r="P15" s="47"/>
      <c r="Q15" s="47"/>
      <c r="S15" s="69"/>
    </row>
    <row r="16" spans="1:24" s="1" customFormat="1" ht="18" customHeight="1">
      <c r="A16" s="12" t="s">
        <v>186</v>
      </c>
      <c r="B16" s="13"/>
      <c r="C16" s="801"/>
      <c r="D16" s="802"/>
      <c r="E16" s="803" t="s">
        <v>187</v>
      </c>
      <c r="F16" s="803"/>
      <c r="G16" s="804"/>
      <c r="H16" s="805"/>
      <c r="I16" s="7"/>
      <c r="J16" s="806" t="s">
        <v>137</v>
      </c>
      <c r="K16" s="807"/>
      <c r="L16" s="807" t="s">
        <v>138</v>
      </c>
      <c r="M16" s="808"/>
      <c r="P16" s="53"/>
      <c r="Q16" s="53"/>
      <c r="S16" s="69"/>
    </row>
    <row r="17" spans="1:19" s="1" customFormat="1" ht="18" customHeight="1">
      <c r="A17" s="14" t="s">
        <v>32</v>
      </c>
      <c r="B17" s="809" t="s">
        <v>33</v>
      </c>
      <c r="C17" s="809"/>
      <c r="D17" s="37" t="s">
        <v>34</v>
      </c>
      <c r="E17" s="15" t="s">
        <v>188</v>
      </c>
      <c r="F17" s="16" t="s">
        <v>6</v>
      </c>
      <c r="G17" s="16" t="s">
        <v>189</v>
      </c>
      <c r="H17" s="17" t="s">
        <v>190</v>
      </c>
      <c r="I17" s="7"/>
      <c r="J17" s="810"/>
      <c r="K17" s="811"/>
      <c r="L17" s="7"/>
      <c r="M17" s="54"/>
      <c r="P17" s="47"/>
      <c r="Q17" s="47"/>
      <c r="R17" s="62"/>
      <c r="S17" s="70"/>
    </row>
    <row r="18" spans="1:19" s="1" customFormat="1" ht="18" customHeight="1">
      <c r="A18" s="18">
        <v>1</v>
      </c>
      <c r="B18" s="809"/>
      <c r="C18" s="809"/>
      <c r="D18" s="9"/>
      <c r="E18" s="20"/>
      <c r="F18" s="21"/>
      <c r="G18" s="21"/>
      <c r="H18" s="22"/>
      <c r="I18" s="7"/>
      <c r="J18" s="812"/>
      <c r="K18" s="813"/>
      <c r="L18" s="55"/>
      <c r="M18" s="56"/>
      <c r="P18" s="47"/>
      <c r="Q18" s="53"/>
      <c r="R18" s="62"/>
      <c r="S18" s="70"/>
    </row>
    <row r="19" spans="1:19" s="1" customFormat="1" ht="18" customHeight="1">
      <c r="A19" s="18">
        <v>2</v>
      </c>
      <c r="B19" s="809"/>
      <c r="C19" s="809"/>
      <c r="D19" s="9"/>
      <c r="E19" s="20"/>
      <c r="F19" s="21"/>
      <c r="G19" s="21"/>
      <c r="H19" s="22"/>
      <c r="I19" s="7"/>
      <c r="J19" s="7"/>
      <c r="K19" s="7"/>
      <c r="L19" s="7"/>
      <c r="M19" s="7"/>
      <c r="P19" s="47"/>
      <c r="Q19" s="53"/>
      <c r="R19" s="62"/>
      <c r="S19" s="70"/>
    </row>
    <row r="20" spans="1:19" s="1" customFormat="1" ht="18" customHeight="1">
      <c r="A20" s="18">
        <v>3</v>
      </c>
      <c r="B20" s="809"/>
      <c r="C20" s="809"/>
      <c r="D20" s="9"/>
      <c r="E20" s="20"/>
      <c r="F20" s="10"/>
      <c r="G20" s="21"/>
      <c r="H20" s="22"/>
      <c r="I20" s="7"/>
      <c r="J20" s="800" t="s">
        <v>192</v>
      </c>
      <c r="K20" s="788"/>
      <c r="L20" s="788"/>
      <c r="M20" s="789"/>
      <c r="P20" s="47"/>
      <c r="Q20" s="47"/>
      <c r="S20" s="69"/>
    </row>
    <row r="21" spans="1:19" s="1" customFormat="1" ht="18" customHeight="1">
      <c r="A21" s="18">
        <v>4</v>
      </c>
      <c r="B21" s="809"/>
      <c r="C21" s="809"/>
      <c r="D21" s="9"/>
      <c r="E21" s="20"/>
      <c r="F21" s="24"/>
      <c r="G21" s="21"/>
      <c r="H21" s="25"/>
      <c r="I21" s="7"/>
      <c r="J21" s="806" t="s">
        <v>137</v>
      </c>
      <c r="K21" s="807"/>
      <c r="L21" s="807" t="s">
        <v>138</v>
      </c>
      <c r="M21" s="808"/>
      <c r="N21" s="57"/>
      <c r="P21" s="47"/>
      <c r="Q21" s="47"/>
      <c r="S21" s="69"/>
    </row>
    <row r="22" spans="1:19" s="1" customFormat="1" ht="18" customHeight="1">
      <c r="A22" s="18">
        <v>5</v>
      </c>
      <c r="B22" s="809"/>
      <c r="C22" s="809"/>
      <c r="D22" s="9"/>
      <c r="E22" s="20"/>
      <c r="F22" s="24"/>
      <c r="G22" s="21"/>
      <c r="H22" s="25"/>
      <c r="I22" s="7"/>
      <c r="J22" s="810"/>
      <c r="K22" s="811"/>
      <c r="L22" s="7"/>
      <c r="M22" s="54"/>
      <c r="P22" s="47"/>
      <c r="Q22" s="47"/>
      <c r="S22" s="69"/>
    </row>
    <row r="23" spans="1:19" s="1" customFormat="1" ht="18" customHeight="1">
      <c r="A23" s="26">
        <v>6</v>
      </c>
      <c r="B23" s="814"/>
      <c r="C23" s="814"/>
      <c r="D23" s="11"/>
      <c r="E23" s="28"/>
      <c r="F23" s="29"/>
      <c r="G23" s="30"/>
      <c r="H23" s="31"/>
      <c r="I23" s="7"/>
      <c r="J23" s="812"/>
      <c r="K23" s="813"/>
      <c r="L23" s="55"/>
      <c r="M23" s="56"/>
      <c r="P23" s="47"/>
      <c r="Q23" s="47"/>
      <c r="S23" s="69"/>
    </row>
    <row r="24" spans="1:19" s="1" customFormat="1" ht="18" customHeight="1">
      <c r="A24" s="7"/>
      <c r="B24" s="32"/>
      <c r="C24" s="6"/>
      <c r="D24" s="815"/>
      <c r="E24" s="815"/>
      <c r="F24" s="33"/>
      <c r="G24" s="816"/>
      <c r="H24" s="816"/>
      <c r="I24" s="7"/>
      <c r="J24" s="34"/>
      <c r="K24" s="34"/>
      <c r="L24" s="34"/>
      <c r="M24" s="34"/>
      <c r="P24" s="47"/>
      <c r="Q24" s="47"/>
      <c r="S24" s="69"/>
    </row>
    <row r="25" spans="1:19" s="1" customFormat="1" ht="18" customHeight="1">
      <c r="A25" s="800" t="s">
        <v>32</v>
      </c>
      <c r="B25" s="788" t="s">
        <v>195</v>
      </c>
      <c r="C25" s="788"/>
      <c r="D25" s="829" t="s">
        <v>196</v>
      </c>
      <c r="E25" s="817" t="s">
        <v>197</v>
      </c>
      <c r="F25" s="817"/>
      <c r="G25" s="788" t="s">
        <v>35</v>
      </c>
      <c r="H25" s="789" t="s">
        <v>138</v>
      </c>
      <c r="I25" s="7"/>
      <c r="J25" s="35" t="s">
        <v>32</v>
      </c>
      <c r="K25" s="8" t="s">
        <v>147</v>
      </c>
      <c r="L25" s="36" t="s">
        <v>193</v>
      </c>
      <c r="M25" s="58" t="s">
        <v>194</v>
      </c>
      <c r="N25" s="59"/>
      <c r="P25" s="47"/>
      <c r="Q25" s="47"/>
      <c r="S25" s="69"/>
    </row>
    <row r="26" spans="1:19" s="1" customFormat="1" ht="18" customHeight="1">
      <c r="A26" s="806"/>
      <c r="B26" s="807"/>
      <c r="C26" s="807"/>
      <c r="D26" s="809"/>
      <c r="E26" s="15" t="s">
        <v>202</v>
      </c>
      <c r="F26" s="15" t="s">
        <v>202</v>
      </c>
      <c r="G26" s="807"/>
      <c r="H26" s="808"/>
      <c r="I26" s="7"/>
      <c r="J26" s="18">
        <v>1</v>
      </c>
      <c r="K26" s="10"/>
      <c r="L26" s="10"/>
      <c r="M26" s="25"/>
      <c r="N26" s="59"/>
      <c r="P26" s="47"/>
      <c r="Q26" s="47"/>
      <c r="S26" s="69"/>
    </row>
    <row r="27" spans="1:19" s="1" customFormat="1" ht="19.95" customHeight="1">
      <c r="A27" s="18">
        <v>1</v>
      </c>
      <c r="B27" s="818" t="s">
        <v>225</v>
      </c>
      <c r="C27" s="819"/>
      <c r="D27" s="38" t="s">
        <v>226</v>
      </c>
      <c r="E27" s="19"/>
      <c r="F27" s="39"/>
      <c r="G27" s="10" t="s">
        <v>227</v>
      </c>
      <c r="H27" s="25"/>
      <c r="I27" s="7"/>
      <c r="J27" s="18">
        <v>2</v>
      </c>
      <c r="K27" s="10"/>
      <c r="L27" s="10"/>
      <c r="M27" s="25"/>
      <c r="N27" s="60"/>
      <c r="P27" s="47"/>
      <c r="Q27" s="47"/>
      <c r="S27" s="69"/>
    </row>
    <row r="28" spans="1:19" s="1" customFormat="1" ht="19.95" customHeight="1">
      <c r="A28" s="18">
        <v>2</v>
      </c>
      <c r="B28" s="818" t="s">
        <v>228</v>
      </c>
      <c r="C28" s="819"/>
      <c r="D28" s="38" t="s">
        <v>229</v>
      </c>
      <c r="E28" s="19"/>
      <c r="F28" s="39"/>
      <c r="G28" s="10" t="s">
        <v>230</v>
      </c>
      <c r="H28" s="25"/>
      <c r="I28" s="7"/>
      <c r="J28" s="18">
        <v>3</v>
      </c>
      <c r="K28" s="10"/>
      <c r="L28" s="10"/>
      <c r="M28" s="25"/>
      <c r="N28" s="60"/>
      <c r="P28" s="47"/>
      <c r="Q28" s="47"/>
      <c r="S28" s="69"/>
    </row>
    <row r="29" spans="1:19" s="1" customFormat="1" ht="19.95" customHeight="1">
      <c r="A29" s="18">
        <v>3</v>
      </c>
      <c r="B29" s="818" t="s">
        <v>231</v>
      </c>
      <c r="C29" s="819"/>
      <c r="D29" s="38" t="s">
        <v>232</v>
      </c>
      <c r="E29" s="19"/>
      <c r="F29" s="39"/>
      <c r="G29" s="10" t="s">
        <v>207</v>
      </c>
      <c r="H29" s="25"/>
      <c r="I29" s="7"/>
      <c r="J29" s="18">
        <v>4</v>
      </c>
      <c r="K29" s="10"/>
      <c r="L29" s="10"/>
      <c r="M29" s="25"/>
      <c r="N29" s="60"/>
      <c r="P29" s="47"/>
      <c r="Q29" s="47"/>
      <c r="S29" s="69"/>
    </row>
    <row r="30" spans="1:19" s="1" customFormat="1" ht="19.95" customHeight="1">
      <c r="A30" s="18">
        <v>4</v>
      </c>
      <c r="B30" s="818" t="s">
        <v>233</v>
      </c>
      <c r="C30" s="819"/>
      <c r="D30" s="38" t="s">
        <v>234</v>
      </c>
      <c r="E30" s="19"/>
      <c r="F30" s="63"/>
      <c r="G30" s="10" t="s">
        <v>140</v>
      </c>
      <c r="H30" s="25"/>
      <c r="I30" s="7"/>
      <c r="J30" s="26">
        <v>5</v>
      </c>
      <c r="K30" s="44"/>
      <c r="L30" s="44"/>
      <c r="M30" s="45"/>
      <c r="N30" s="60"/>
      <c r="P30" s="47"/>
      <c r="Q30" s="47"/>
      <c r="S30" s="69"/>
    </row>
    <row r="31" spans="1:19" s="1" customFormat="1" ht="19.95" customHeight="1">
      <c r="A31" s="18">
        <v>5</v>
      </c>
      <c r="B31" s="818"/>
      <c r="C31" s="819"/>
      <c r="D31" s="19"/>
      <c r="E31" s="19"/>
      <c r="F31" s="63"/>
      <c r="G31" s="10"/>
      <c r="H31" s="25"/>
      <c r="I31" s="7"/>
      <c r="J31" s="48"/>
      <c r="K31" s="61"/>
      <c r="L31" s="48"/>
      <c r="M31" s="48"/>
      <c r="N31" s="59"/>
      <c r="P31" s="47"/>
      <c r="Q31" s="47"/>
      <c r="S31" s="69"/>
    </row>
    <row r="32" spans="1:19" s="1" customFormat="1" ht="19.95" customHeight="1">
      <c r="A32" s="18">
        <v>6</v>
      </c>
      <c r="B32" s="818"/>
      <c r="C32" s="819"/>
      <c r="D32" s="19"/>
      <c r="E32" s="19"/>
      <c r="F32" s="39"/>
      <c r="G32" s="10"/>
      <c r="H32" s="25"/>
      <c r="I32" s="7"/>
      <c r="J32" s="800" t="s">
        <v>198</v>
      </c>
      <c r="K32" s="829" t="s">
        <v>199</v>
      </c>
      <c r="L32" s="788" t="s">
        <v>200</v>
      </c>
      <c r="M32" s="789" t="s">
        <v>201</v>
      </c>
      <c r="N32" s="60"/>
      <c r="P32" s="47"/>
      <c r="Q32" s="47"/>
      <c r="S32" s="69"/>
    </row>
    <row r="33" spans="1:19" s="1" customFormat="1" ht="19.95" customHeight="1">
      <c r="A33" s="18">
        <v>7</v>
      </c>
      <c r="B33" s="818"/>
      <c r="C33" s="819"/>
      <c r="D33" s="19"/>
      <c r="E33" s="19"/>
      <c r="F33" s="39"/>
      <c r="G33" s="10"/>
      <c r="H33" s="25"/>
      <c r="I33" s="7"/>
      <c r="J33" s="806"/>
      <c r="K33" s="809"/>
      <c r="L33" s="807"/>
      <c r="M33" s="808"/>
      <c r="N33" s="60"/>
      <c r="P33" s="47"/>
      <c r="Q33" s="47"/>
      <c r="S33" s="69"/>
    </row>
    <row r="34" spans="1:19" s="1" customFormat="1" ht="19.95" customHeight="1">
      <c r="A34" s="18">
        <v>8</v>
      </c>
      <c r="B34" s="818"/>
      <c r="C34" s="819"/>
      <c r="D34" s="19"/>
      <c r="E34" s="19"/>
      <c r="F34" s="39"/>
      <c r="G34" s="10"/>
      <c r="H34" s="25"/>
      <c r="I34" s="7"/>
      <c r="J34" s="827"/>
      <c r="K34" s="792"/>
      <c r="L34" s="792"/>
      <c r="M34" s="793"/>
      <c r="N34" s="60"/>
      <c r="P34" s="34"/>
      <c r="Q34" s="34"/>
    </row>
    <row r="35" spans="1:19" s="1" customFormat="1" ht="19.95" customHeight="1">
      <c r="A35" s="18">
        <v>9</v>
      </c>
      <c r="B35" s="818"/>
      <c r="C35" s="819"/>
      <c r="D35" s="19"/>
      <c r="E35" s="19"/>
      <c r="F35" s="39"/>
      <c r="G35" s="10"/>
      <c r="H35" s="25"/>
      <c r="I35" s="7"/>
      <c r="J35" s="827"/>
      <c r="K35" s="792"/>
      <c r="L35" s="792"/>
      <c r="M35" s="793"/>
      <c r="N35" s="60"/>
      <c r="P35" s="34"/>
      <c r="Q35" s="34"/>
    </row>
    <row r="36" spans="1:19" s="1" customFormat="1" ht="19.95" customHeight="1">
      <c r="A36" s="18">
        <v>10</v>
      </c>
      <c r="B36" s="818"/>
      <c r="C36" s="819"/>
      <c r="D36" s="19"/>
      <c r="E36" s="19"/>
      <c r="F36" s="39"/>
      <c r="G36" s="10"/>
      <c r="H36" s="25"/>
      <c r="I36" s="7"/>
      <c r="J36" s="827"/>
      <c r="K36" s="792"/>
      <c r="L36" s="792"/>
      <c r="M36" s="793"/>
      <c r="N36" s="60"/>
      <c r="P36" s="34"/>
      <c r="Q36" s="34"/>
    </row>
    <row r="37" spans="1:19" s="1" customFormat="1" ht="19.95" customHeight="1">
      <c r="A37" s="26">
        <v>11</v>
      </c>
      <c r="B37" s="823"/>
      <c r="C37" s="824"/>
      <c r="D37" s="27"/>
      <c r="E37" s="27"/>
      <c r="F37" s="64"/>
      <c r="G37" s="44"/>
      <c r="H37" s="45"/>
      <c r="I37" s="7"/>
      <c r="J37" s="827"/>
      <c r="K37" s="792"/>
      <c r="L37" s="792"/>
      <c r="M37" s="793"/>
      <c r="N37" s="60"/>
      <c r="P37" s="34"/>
      <c r="Q37" s="34"/>
    </row>
    <row r="38" spans="1:19" s="1" customFormat="1" ht="19.95" customHeight="1">
      <c r="A38" s="34"/>
      <c r="B38" s="770"/>
      <c r="C38" s="770"/>
      <c r="D38" s="32"/>
      <c r="E38" s="32"/>
      <c r="F38" s="65"/>
      <c r="G38" s="34"/>
      <c r="H38" s="34"/>
      <c r="I38" s="7"/>
      <c r="J38" s="827"/>
      <c r="K38" s="792"/>
      <c r="L38" s="792"/>
      <c r="M38" s="793"/>
      <c r="N38" s="60"/>
      <c r="P38" s="34"/>
      <c r="Q38" s="34"/>
    </row>
    <row r="39" spans="1:19" s="1" customFormat="1" ht="19.95" customHeight="1">
      <c r="A39" s="800" t="s">
        <v>32</v>
      </c>
      <c r="B39" s="788" t="s">
        <v>211</v>
      </c>
      <c r="C39" s="788"/>
      <c r="D39" s="829" t="s">
        <v>196</v>
      </c>
      <c r="E39" s="817" t="s">
        <v>197</v>
      </c>
      <c r="F39" s="817"/>
      <c r="G39" s="788" t="s">
        <v>35</v>
      </c>
      <c r="H39" s="789" t="s">
        <v>138</v>
      </c>
      <c r="I39" s="7"/>
      <c r="J39" s="827"/>
      <c r="K39" s="792"/>
      <c r="L39" s="792"/>
      <c r="M39" s="793"/>
      <c r="N39" s="60"/>
      <c r="P39" s="34"/>
      <c r="Q39" s="34"/>
    </row>
    <row r="40" spans="1:19" s="1" customFormat="1" ht="19.95" customHeight="1">
      <c r="A40" s="806"/>
      <c r="B40" s="807"/>
      <c r="C40" s="807"/>
      <c r="D40" s="809"/>
      <c r="E40" s="15" t="s">
        <v>202</v>
      </c>
      <c r="F40" s="15" t="s">
        <v>202</v>
      </c>
      <c r="G40" s="807"/>
      <c r="H40" s="808"/>
      <c r="I40" s="7"/>
      <c r="J40" s="806"/>
      <c r="K40" s="807"/>
      <c r="L40" s="807"/>
      <c r="M40" s="808"/>
      <c r="N40" s="60"/>
      <c r="P40" s="34"/>
      <c r="Q40" s="34"/>
    </row>
    <row r="41" spans="1:19" s="1" customFormat="1" ht="19.95" customHeight="1">
      <c r="A41" s="18">
        <v>1</v>
      </c>
      <c r="B41" s="818" t="s">
        <v>235</v>
      </c>
      <c r="C41" s="819"/>
      <c r="D41" s="38">
        <v>8000</v>
      </c>
      <c r="E41" s="19"/>
      <c r="F41" s="39"/>
      <c r="G41" s="10" t="s">
        <v>144</v>
      </c>
      <c r="H41" s="25"/>
      <c r="I41" s="7"/>
      <c r="J41" s="806"/>
      <c r="K41" s="807"/>
      <c r="L41" s="807"/>
      <c r="M41" s="808"/>
      <c r="N41" s="60"/>
      <c r="P41" s="34"/>
      <c r="Q41" s="34"/>
    </row>
    <row r="42" spans="1:19" s="1" customFormat="1" ht="19.95" customHeight="1">
      <c r="A42" s="18">
        <v>2</v>
      </c>
      <c r="B42" s="818" t="s">
        <v>236</v>
      </c>
      <c r="C42" s="819"/>
      <c r="D42" s="38">
        <v>8000</v>
      </c>
      <c r="E42" s="19"/>
      <c r="F42" s="63"/>
      <c r="G42" s="10" t="s">
        <v>144</v>
      </c>
      <c r="H42" s="25"/>
      <c r="I42" s="7"/>
      <c r="J42" s="806"/>
      <c r="K42" s="807"/>
      <c r="L42" s="807"/>
      <c r="M42" s="808"/>
      <c r="N42" s="60"/>
      <c r="P42" s="34"/>
      <c r="Q42" s="34"/>
    </row>
    <row r="43" spans="1:19" s="1" customFormat="1" ht="19.95" customHeight="1">
      <c r="A43" s="18">
        <v>3</v>
      </c>
      <c r="B43" s="818" t="s">
        <v>237</v>
      </c>
      <c r="C43" s="819"/>
      <c r="D43" s="38">
        <f>O43</f>
        <v>-20</v>
      </c>
      <c r="E43" s="19"/>
      <c r="F43" s="63"/>
      <c r="G43" s="10" t="s">
        <v>140</v>
      </c>
      <c r="H43" s="25"/>
      <c r="I43" s="7"/>
      <c r="J43" s="828"/>
      <c r="K43" s="796"/>
      <c r="L43" s="796"/>
      <c r="M43" s="797"/>
      <c r="N43" s="60"/>
      <c r="O43" s="68">
        <f>(In!M12-0.02)*1000</f>
        <v>-20</v>
      </c>
      <c r="P43" s="34"/>
      <c r="Q43" s="34"/>
    </row>
    <row r="44" spans="1:19" s="1" customFormat="1" ht="19.95" customHeight="1">
      <c r="A44" s="849">
        <v>4</v>
      </c>
      <c r="B44" s="857" t="s">
        <v>218</v>
      </c>
      <c r="C44" s="858"/>
      <c r="D44" s="851" t="s">
        <v>238</v>
      </c>
      <c r="E44" s="851"/>
      <c r="F44" s="853"/>
      <c r="G44" s="855"/>
      <c r="H44" s="825"/>
      <c r="I44" s="7"/>
      <c r="J44" s="48"/>
      <c r="K44" s="48"/>
      <c r="L44" s="48"/>
      <c r="M44" s="48"/>
      <c r="N44" s="60"/>
      <c r="P44" s="34"/>
      <c r="Q44" s="34"/>
    </row>
    <row r="45" spans="1:19" s="1" customFormat="1" ht="19.95" customHeight="1">
      <c r="A45" s="850"/>
      <c r="B45" s="859"/>
      <c r="C45" s="860"/>
      <c r="D45" s="852"/>
      <c r="E45" s="852"/>
      <c r="F45" s="853"/>
      <c r="G45" s="856"/>
      <c r="H45" s="826"/>
      <c r="I45" s="7"/>
      <c r="J45" s="800" t="s">
        <v>149</v>
      </c>
      <c r="K45" s="788"/>
      <c r="L45" s="788"/>
      <c r="M45" s="789"/>
      <c r="N45" s="60"/>
      <c r="P45" s="34"/>
      <c r="Q45" s="34"/>
    </row>
    <row r="46" spans="1:19" s="1" customFormat="1" ht="19.95" hidden="1" customHeight="1">
      <c r="A46" s="850"/>
      <c r="B46" s="859"/>
      <c r="C46" s="860"/>
      <c r="D46" s="852"/>
      <c r="E46" s="852"/>
      <c r="F46" s="854"/>
      <c r="G46" s="856"/>
      <c r="H46" s="826"/>
      <c r="I46" s="7"/>
      <c r="J46" s="861"/>
      <c r="K46" s="862"/>
      <c r="L46" s="862"/>
      <c r="M46" s="863"/>
      <c r="N46" s="60"/>
      <c r="P46" s="34"/>
      <c r="Q46" s="34"/>
    </row>
    <row r="47" spans="1:19" s="1" customFormat="1" ht="19.95" customHeight="1">
      <c r="A47" s="18">
        <v>5</v>
      </c>
      <c r="B47" s="818"/>
      <c r="C47" s="819"/>
      <c r="D47" s="19"/>
      <c r="E47" s="19"/>
      <c r="F47" s="40"/>
      <c r="G47" s="23"/>
      <c r="H47" s="41"/>
      <c r="I47" s="7"/>
      <c r="J47" s="820"/>
      <c r="K47" s="821"/>
      <c r="L47" s="821"/>
      <c r="M47" s="822"/>
      <c r="N47" s="60"/>
      <c r="P47" s="34"/>
      <c r="Q47" s="34"/>
    </row>
    <row r="48" spans="1:19" s="1" customFormat="1" ht="19.95" customHeight="1">
      <c r="A48" s="18">
        <v>6</v>
      </c>
      <c r="B48" s="818"/>
      <c r="C48" s="819"/>
      <c r="D48" s="19"/>
      <c r="E48" s="19"/>
      <c r="F48" s="40"/>
      <c r="G48" s="23"/>
      <c r="H48" s="41"/>
      <c r="I48" s="7"/>
      <c r="J48" s="820"/>
      <c r="K48" s="821"/>
      <c r="L48" s="821"/>
      <c r="M48" s="822"/>
      <c r="N48" s="60"/>
      <c r="P48" s="34"/>
      <c r="Q48" s="34"/>
    </row>
    <row r="49" spans="1:17" s="1" customFormat="1" ht="19.95" customHeight="1">
      <c r="A49" s="18">
        <v>7</v>
      </c>
      <c r="B49" s="818"/>
      <c r="C49" s="819"/>
      <c r="D49" s="19"/>
      <c r="E49" s="19"/>
      <c r="F49" s="39"/>
      <c r="G49" s="10"/>
      <c r="H49" s="25"/>
      <c r="I49" s="7"/>
      <c r="J49" s="820"/>
      <c r="K49" s="821"/>
      <c r="L49" s="821"/>
      <c r="M49" s="822"/>
      <c r="N49" s="60"/>
      <c r="P49" s="34"/>
      <c r="Q49" s="34"/>
    </row>
    <row r="50" spans="1:17" s="1" customFormat="1" ht="19.95" customHeight="1">
      <c r="A50" s="18">
        <v>8</v>
      </c>
      <c r="B50" s="818"/>
      <c r="C50" s="819"/>
      <c r="D50" s="19"/>
      <c r="E50" s="19"/>
      <c r="F50" s="39"/>
      <c r="G50" s="10"/>
      <c r="H50" s="25"/>
      <c r="I50" s="7"/>
      <c r="J50" s="820"/>
      <c r="K50" s="821"/>
      <c r="L50" s="821"/>
      <c r="M50" s="822"/>
      <c r="N50" s="60"/>
      <c r="P50" s="34"/>
      <c r="Q50" s="34"/>
    </row>
    <row r="51" spans="1:17" s="1" customFormat="1" ht="19.95" customHeight="1">
      <c r="A51" s="26">
        <v>9</v>
      </c>
      <c r="B51" s="795"/>
      <c r="C51" s="795"/>
      <c r="D51" s="66"/>
      <c r="E51" s="66"/>
      <c r="F51" s="66"/>
      <c r="G51" s="66"/>
      <c r="H51" s="67"/>
      <c r="I51" s="7"/>
      <c r="J51" s="830"/>
      <c r="K51" s="831"/>
      <c r="L51" s="831"/>
      <c r="M51" s="832"/>
      <c r="N51" s="60"/>
      <c r="P51" s="34"/>
      <c r="Q51" s="34"/>
    </row>
    <row r="52" spans="1:17" s="1" customFormat="1" ht="18" customHeight="1">
      <c r="A52" s="7"/>
      <c r="B52" s="42"/>
      <c r="C52" s="43"/>
      <c r="D52" s="43"/>
      <c r="E52" s="43"/>
      <c r="F52" s="43"/>
      <c r="G52" s="43"/>
      <c r="H52" s="43"/>
      <c r="I52" s="7"/>
      <c r="J52" s="7"/>
      <c r="K52" s="7"/>
      <c r="L52" s="7"/>
      <c r="M52" s="7"/>
      <c r="N52" s="60"/>
      <c r="P52" s="34"/>
      <c r="Q52" s="34"/>
    </row>
    <row r="53" spans="1:17" s="1" customFormat="1" ht="18" customHeight="1">
      <c r="A53" s="800" t="s">
        <v>239</v>
      </c>
      <c r="B53" s="788"/>
      <c r="C53" s="788"/>
      <c r="D53" s="788"/>
      <c r="E53" s="788"/>
      <c r="F53" s="788"/>
      <c r="G53" s="788"/>
      <c r="H53" s="789"/>
      <c r="I53" s="34"/>
      <c r="J53" s="834" t="s">
        <v>221</v>
      </c>
      <c r="K53" s="829"/>
      <c r="L53" s="829" t="s">
        <v>222</v>
      </c>
      <c r="M53" s="836"/>
    </row>
    <row r="54" spans="1:17" s="1" customFormat="1" ht="18" customHeight="1">
      <c r="A54" s="806" t="s">
        <v>174</v>
      </c>
      <c r="B54" s="807"/>
      <c r="C54" s="807"/>
      <c r="D54" s="807"/>
      <c r="E54" s="807" t="s">
        <v>223</v>
      </c>
      <c r="F54" s="807"/>
      <c r="G54" s="807"/>
      <c r="H54" s="808"/>
      <c r="I54" s="7"/>
      <c r="J54" s="835"/>
      <c r="K54" s="809"/>
      <c r="L54" s="809"/>
      <c r="M54" s="837"/>
    </row>
    <row r="55" spans="1:17" s="1" customFormat="1" ht="18" customHeight="1">
      <c r="A55" s="827"/>
      <c r="B55" s="792"/>
      <c r="C55" s="792"/>
      <c r="D55" s="792"/>
      <c r="E55" s="792"/>
      <c r="F55" s="792"/>
      <c r="G55" s="792"/>
      <c r="H55" s="793"/>
      <c r="I55" s="7"/>
      <c r="J55" s="835"/>
      <c r="K55" s="809"/>
      <c r="L55" s="809"/>
      <c r="M55" s="837"/>
    </row>
    <row r="56" spans="1:17" s="1" customFormat="1" ht="18" customHeight="1">
      <c r="A56" s="827"/>
      <c r="B56" s="792"/>
      <c r="C56" s="792"/>
      <c r="D56" s="792"/>
      <c r="E56" s="792"/>
      <c r="F56" s="792"/>
      <c r="G56" s="792"/>
      <c r="H56" s="793"/>
      <c r="I56" s="7"/>
      <c r="J56" s="835"/>
      <c r="K56" s="809"/>
      <c r="L56" s="809"/>
      <c r="M56" s="837"/>
    </row>
    <row r="57" spans="1:17" s="1" customFormat="1" ht="18" customHeight="1">
      <c r="A57" s="838"/>
      <c r="B57" s="839"/>
      <c r="C57" s="839"/>
      <c r="D57" s="839"/>
      <c r="E57" s="839"/>
      <c r="F57" s="839"/>
      <c r="G57" s="839"/>
      <c r="H57" s="840"/>
      <c r="I57" s="7"/>
      <c r="J57" s="841"/>
      <c r="K57" s="814"/>
      <c r="L57" s="814"/>
      <c r="M57" s="842"/>
    </row>
    <row r="58" spans="1:17" s="1" customFormat="1" ht="15.6"/>
    <row r="59" spans="1:17" s="1" customFormat="1" ht="15.6"/>
    <row r="60" spans="1:17" s="1" customFormat="1" ht="15.6">
      <c r="B60" s="46"/>
      <c r="C60" s="46"/>
      <c r="D60" s="833"/>
      <c r="E60" s="833"/>
      <c r="F60" s="833"/>
      <c r="G60" s="833"/>
    </row>
    <row r="61" spans="1:17" s="1" customFormat="1" ht="15.6">
      <c r="B61" s="843"/>
      <c r="C61" s="843"/>
      <c r="D61" s="844"/>
      <c r="E61" s="844"/>
      <c r="F61" s="845"/>
      <c r="G61" s="845"/>
    </row>
    <row r="62" spans="1:17" s="1" customFormat="1" ht="15.6">
      <c r="B62" s="843"/>
      <c r="C62" s="843"/>
      <c r="D62" s="844"/>
      <c r="E62" s="844"/>
      <c r="F62" s="846"/>
      <c r="G62" s="846"/>
    </row>
    <row r="63" spans="1:17" s="1" customFormat="1" ht="15.6">
      <c r="B63" s="843"/>
      <c r="C63" s="843"/>
      <c r="D63" s="844"/>
      <c r="E63" s="844"/>
      <c r="F63" s="847"/>
      <c r="G63" s="847"/>
    </row>
    <row r="64" spans="1:17" s="1" customFormat="1" ht="15.6">
      <c r="B64" s="843"/>
      <c r="C64" s="843"/>
      <c r="D64" s="844"/>
      <c r="E64" s="844"/>
      <c r="F64" s="845"/>
      <c r="G64" s="845"/>
    </row>
    <row r="65" spans="2:7" s="1" customFormat="1" ht="15.6">
      <c r="B65" s="843"/>
      <c r="C65" s="843"/>
      <c r="D65" s="844"/>
      <c r="E65" s="844"/>
      <c r="F65" s="845"/>
      <c r="G65" s="845"/>
    </row>
    <row r="66" spans="2:7" s="1" customFormat="1" ht="15.6">
      <c r="B66" s="843"/>
      <c r="C66" s="843"/>
      <c r="D66" s="844"/>
      <c r="E66" s="844"/>
      <c r="F66" s="847"/>
      <c r="G66" s="847"/>
    </row>
    <row r="67" spans="2:7" s="1" customFormat="1" ht="15.6">
      <c r="B67" s="843"/>
      <c r="C67" s="843"/>
      <c r="D67" s="844"/>
      <c r="E67" s="844"/>
      <c r="F67" s="847"/>
      <c r="G67" s="847"/>
    </row>
    <row r="68" spans="2:7" s="1" customFormat="1" ht="15.6">
      <c r="B68" s="843"/>
      <c r="C68" s="843"/>
      <c r="D68" s="844"/>
      <c r="E68" s="844"/>
      <c r="F68" s="847"/>
      <c r="G68" s="847"/>
    </row>
    <row r="69" spans="2:7" s="1" customFormat="1" ht="15.6">
      <c r="B69" s="843"/>
      <c r="C69" s="843"/>
      <c r="D69" s="844"/>
      <c r="E69" s="844"/>
      <c r="F69" s="848"/>
      <c r="G69" s="848"/>
    </row>
    <row r="70" spans="2:7" s="1" customFormat="1" ht="15.6"/>
    <row r="71" spans="2:7" s="1" customFormat="1" ht="15.6"/>
    <row r="72" spans="2:7" s="1" customFormat="1" ht="15.6"/>
    <row r="73" spans="2:7" s="1" customFormat="1" ht="15.6"/>
    <row r="74" spans="2:7" s="1" customFormat="1" ht="15.6"/>
    <row r="75" spans="2:7" s="1" customFormat="1" ht="15.6"/>
    <row r="76" spans="2:7" s="1" customFormat="1" ht="15.6"/>
    <row r="77" spans="2:7" s="1" customFormat="1" ht="15.6"/>
    <row r="78" spans="2:7" s="1" customFormat="1" ht="15.6"/>
    <row r="79" spans="2:7" s="1" customFormat="1" ht="15.6"/>
    <row r="80" spans="2:7" s="1" customFormat="1" ht="15.6"/>
    <row r="81" s="1" customFormat="1" ht="15.6"/>
    <row r="82" s="1" customFormat="1" ht="15.6"/>
    <row r="83" s="1" customFormat="1" ht="15.6"/>
    <row r="84" s="1" customFormat="1" ht="15.6"/>
    <row r="85" s="1" customFormat="1" ht="15.6"/>
    <row r="86" s="1" customFormat="1" ht="15.6"/>
    <row r="87" s="1" customFormat="1" ht="15.6"/>
    <row r="88" s="1" customFormat="1" ht="15.6"/>
    <row r="89" s="1" customFormat="1" ht="15.6"/>
    <row r="90" s="1" customFormat="1" ht="15.6"/>
    <row r="91" s="1" customFormat="1" ht="15.6"/>
    <row r="92" s="1" customFormat="1" ht="15.6"/>
    <row r="93" s="1" customFormat="1" ht="15.6"/>
    <row r="94" s="1" customFormat="1" ht="15.6"/>
    <row r="95" s="1" customFormat="1" ht="15.6"/>
    <row r="96" s="1" customFormat="1" ht="15.6"/>
    <row r="97" s="1" customFormat="1" ht="15.6"/>
    <row r="98" s="1" customFormat="1" ht="15.6"/>
    <row r="99" s="1" customFormat="1" ht="15.6"/>
    <row r="100" s="1" customFormat="1" ht="15.6"/>
    <row r="101" s="1" customFormat="1" ht="15.6"/>
    <row r="102" s="1" customFormat="1" ht="15.6"/>
    <row r="103" s="1" customFormat="1" ht="15.6"/>
    <row r="104" s="1" customFormat="1" ht="15.6"/>
    <row r="105" s="1" customFormat="1" ht="15.6"/>
    <row r="106" s="1" customFormat="1" ht="15.6"/>
    <row r="107" s="1" customFormat="1" ht="15.6"/>
    <row r="108" s="1" customFormat="1" ht="15.6"/>
    <row r="109" s="1" customFormat="1" ht="15.6"/>
    <row r="110" s="1" customFormat="1" ht="15.6"/>
    <row r="111" s="1" customFormat="1" ht="15.6"/>
    <row r="112" s="1" customFormat="1" ht="15.6"/>
    <row r="113" s="1" customFormat="1" ht="15.6"/>
    <row r="114" s="1" customFormat="1" ht="15.6"/>
    <row r="115" s="1" customFormat="1" ht="15.6"/>
    <row r="116" s="1" customFormat="1" ht="15.6"/>
    <row r="117" s="1" customFormat="1" ht="15.6"/>
    <row r="118" s="1" customFormat="1" ht="15.6"/>
    <row r="119" s="1" customFormat="1" ht="15.6"/>
    <row r="120" s="1" customFormat="1" ht="15.6"/>
    <row r="121" s="1" customFormat="1" ht="15.6"/>
    <row r="122" s="1" customFormat="1" ht="15.6"/>
    <row r="123" s="1" customFormat="1" ht="15.6"/>
    <row r="124" s="1" customFormat="1" ht="15.6"/>
    <row r="125" s="1" customFormat="1" ht="15.6"/>
    <row r="126" s="1" customFormat="1" ht="15.6"/>
    <row r="127" s="1" customFormat="1" ht="15.6"/>
    <row r="128" s="1" customFormat="1" ht="15.6"/>
    <row r="129" s="1" customFormat="1" ht="15.6"/>
    <row r="130" s="1" customFormat="1" ht="15.6"/>
    <row r="131" s="1" customFormat="1" ht="15.6"/>
    <row r="132" s="1" customFormat="1" ht="15.6"/>
    <row r="133" s="1" customFormat="1" ht="15.6"/>
    <row r="134" s="1" customFormat="1" ht="15.6"/>
    <row r="135" s="1" customFormat="1" ht="15.6"/>
    <row r="136" s="1" customFormat="1" ht="15.6"/>
    <row r="137" s="1" customFormat="1" ht="15.6"/>
    <row r="138" s="1" customFormat="1" ht="15.6"/>
    <row r="139" s="1" customFormat="1" ht="15.6"/>
    <row r="140" s="1" customFormat="1" ht="15.6"/>
    <row r="141" s="1" customFormat="1" ht="15.6"/>
    <row r="142" s="1" customFormat="1" ht="15.6"/>
    <row r="143" s="1" customFormat="1" ht="15.6"/>
    <row r="144" s="1" customFormat="1" ht="15.6"/>
    <row r="145" s="1" customFormat="1" ht="15.6"/>
    <row r="146" s="1" customFormat="1" ht="15.6"/>
    <row r="147" s="1" customFormat="1" ht="15.6"/>
    <row r="148" s="1" customFormat="1" ht="15.6"/>
    <row r="149" s="1" customFormat="1" ht="15.6"/>
    <row r="150" s="1" customFormat="1" ht="15.6"/>
    <row r="151" s="1" customFormat="1" ht="15.6"/>
    <row r="152" s="1" customFormat="1" ht="15.6"/>
    <row r="153" s="1" customFormat="1" ht="15.6"/>
    <row r="154" s="1" customFormat="1" ht="15.6"/>
    <row r="155" s="1" customFormat="1" ht="15.6"/>
    <row r="156" s="1" customFormat="1" ht="15.6"/>
    <row r="157" s="1" customFormat="1" ht="15.6"/>
    <row r="158" s="1" customFormat="1" ht="15.6"/>
    <row r="159" s="1" customFormat="1" ht="15.6"/>
    <row r="160" s="1" customFormat="1" ht="15.6"/>
    <row r="161" s="1" customFormat="1" ht="15.6"/>
    <row r="162" s="1" customFormat="1" ht="15.6"/>
    <row r="163" s="1" customFormat="1" ht="15.6"/>
    <row r="164" s="1" customFormat="1" ht="15.6"/>
    <row r="165" s="1" customFormat="1" ht="15.6"/>
    <row r="166" s="1" customFormat="1" ht="15.6"/>
    <row r="167" s="1" customFormat="1" ht="15.6"/>
    <row r="168" s="1" customFormat="1" ht="15.6"/>
    <row r="169" s="1" customFormat="1" ht="15.6"/>
    <row r="170" s="1" customFormat="1" ht="15.6"/>
    <row r="171" s="1" customFormat="1" ht="15.6"/>
    <row r="172" s="1" customFormat="1" ht="15.6"/>
    <row r="173" s="1" customFormat="1" ht="15.6"/>
    <row r="174" s="1" customFormat="1" ht="15.6"/>
    <row r="175" s="1" customFormat="1" ht="15.6"/>
    <row r="176" s="1" customFormat="1" ht="15.6"/>
    <row r="177" s="1" customFormat="1" ht="15.6"/>
    <row r="178" s="1" customFormat="1" ht="15.6"/>
    <row r="179" s="1" customFormat="1" ht="15.6"/>
    <row r="180" s="1" customFormat="1" ht="15.6"/>
    <row r="181" s="1" customFormat="1" ht="15.6"/>
    <row r="182" s="1" customFormat="1" ht="15.6"/>
    <row r="183" s="1" customFormat="1" ht="15.6"/>
    <row r="184" s="1" customFormat="1" ht="15.6"/>
    <row r="185" s="1" customFormat="1" ht="15.6"/>
    <row r="186" s="1" customFormat="1" ht="15.6"/>
    <row r="187" s="1" customFormat="1" ht="15.6"/>
    <row r="188" s="1" customFormat="1" ht="15.6"/>
    <row r="189" s="1" customFormat="1" ht="15.6"/>
    <row r="190" s="1" customFormat="1" ht="15.6"/>
    <row r="191" s="1" customFormat="1" ht="15.6"/>
    <row r="192" s="1" customFormat="1" ht="15.6"/>
    <row r="193" s="1" customFormat="1" ht="15.6"/>
    <row r="194" s="1" customFormat="1" ht="15.6"/>
    <row r="195" s="1" customFormat="1" ht="15.6"/>
    <row r="196" s="1" customFormat="1" ht="15.6"/>
    <row r="197" s="1" customFormat="1" ht="15.6"/>
    <row r="198" s="1" customFormat="1" ht="15.6"/>
    <row r="199" s="1" customFormat="1" ht="15.6"/>
    <row r="200" s="1" customFormat="1" ht="15.6"/>
    <row r="201" s="1" customFormat="1" ht="15.6"/>
    <row r="202" s="1" customFormat="1" ht="15.6"/>
    <row r="203" s="1" customFormat="1" ht="15.6"/>
    <row r="204" s="1" customFormat="1" ht="15.6"/>
    <row r="205" s="1" customFormat="1" ht="15.6"/>
    <row r="206" s="1" customFormat="1" ht="15.6"/>
    <row r="207" s="1" customFormat="1" ht="15.6"/>
    <row r="208" s="1" customFormat="1" ht="15.6"/>
    <row r="209" s="1" customFormat="1" ht="15.6"/>
    <row r="210" s="1" customFormat="1" ht="15.6"/>
    <row r="211" s="1" customFormat="1" ht="15.6"/>
    <row r="212" s="1" customFormat="1" ht="15.6"/>
    <row r="213" s="1" customFormat="1" ht="15.6"/>
    <row r="214" s="1" customFormat="1" ht="15.6"/>
    <row r="215" s="1" customFormat="1" ht="15.6"/>
    <row r="216" s="1" customFormat="1" ht="15.6"/>
    <row r="217" s="1" customFormat="1" ht="15.6"/>
    <row r="218" s="1" customFormat="1" ht="15.6"/>
    <row r="219" s="1" customFormat="1" ht="15.6"/>
    <row r="220" s="1" customFormat="1" ht="15.6"/>
    <row r="221" s="1" customFormat="1" ht="15.6"/>
    <row r="222" s="1" customFormat="1" ht="15.6"/>
    <row r="223" s="1" customFormat="1" ht="15.6"/>
    <row r="224" s="1" customFormat="1" ht="15.6"/>
    <row r="225" s="1" customFormat="1" ht="15.6"/>
    <row r="226" s="1" customFormat="1" ht="15.6"/>
    <row r="227" s="1" customFormat="1" ht="15.6"/>
    <row r="228" s="1" customFormat="1" ht="15.6"/>
    <row r="229" s="1" customFormat="1" ht="15.6"/>
    <row r="230" s="1" customFormat="1" ht="15.6"/>
    <row r="231" s="1" customFormat="1" ht="15.6"/>
    <row r="232" s="1" customFormat="1" ht="15.6"/>
    <row r="233" s="1" customFormat="1" ht="15.6"/>
    <row r="234" s="1" customFormat="1" ht="15.6"/>
    <row r="235" s="1" customFormat="1" ht="15.6"/>
    <row r="236" s="1" customFormat="1" ht="15.6"/>
    <row r="237" s="1" customFormat="1" ht="15.6"/>
    <row r="238" s="1" customFormat="1" ht="15.6"/>
    <row r="239" s="1" customFormat="1" ht="15.6"/>
    <row r="240" s="1" customFormat="1" ht="15.6"/>
    <row r="241" s="1" customFormat="1" ht="15.6"/>
    <row r="242" s="1" customFormat="1" ht="15.6"/>
    <row r="243" s="1" customFormat="1" ht="15.6"/>
    <row r="244" s="1" customFormat="1" ht="15.6"/>
    <row r="245" s="1" customFormat="1" ht="15.6"/>
    <row r="246" s="1" customFormat="1" ht="15.6"/>
    <row r="247" s="1" customFormat="1" ht="15.6"/>
    <row r="248" s="1" customFormat="1" ht="15.6"/>
    <row r="249" s="1" customFormat="1" ht="15.6"/>
    <row r="250" s="1" customFormat="1" ht="15.6"/>
    <row r="251" s="1" customFormat="1" ht="15.6"/>
    <row r="252" s="1" customFormat="1" ht="15.6"/>
    <row r="253" s="1" customFormat="1" ht="15.6"/>
    <row r="254" s="1" customFormat="1" ht="15.6"/>
    <row r="255" s="1" customFormat="1" ht="15.6"/>
    <row r="256" s="1" customFormat="1" ht="15.6"/>
    <row r="257" spans="1:8" s="1" customFormat="1" ht="15.6"/>
    <row r="258" spans="1:8" s="1" customFormat="1" ht="15.6"/>
    <row r="259" spans="1:8" s="1" customFormat="1" ht="15.6"/>
    <row r="260" spans="1:8" s="1" customFormat="1" ht="15.6"/>
    <row r="261" spans="1:8" s="1" customFormat="1" ht="15.6"/>
    <row r="262" spans="1:8" s="1" customFormat="1" ht="15.6"/>
    <row r="263" spans="1:8" ht="15.6">
      <c r="A263" s="1"/>
      <c r="B263" s="1"/>
      <c r="C263" s="1"/>
      <c r="D263" s="1"/>
      <c r="E263" s="1"/>
      <c r="F263" s="1"/>
      <c r="G263" s="1"/>
      <c r="H263" s="1"/>
    </row>
  </sheetData>
  <mergeCells count="154">
    <mergeCell ref="K34:K35"/>
    <mergeCell ref="K36:K37"/>
    <mergeCell ref="K38:K39"/>
    <mergeCell ref="K40:K41"/>
    <mergeCell ref="K42:K43"/>
    <mergeCell ref="J45:M45"/>
    <mergeCell ref="J46:M46"/>
    <mergeCell ref="L32:L33"/>
    <mergeCell ref="L34:L35"/>
    <mergeCell ref="L36:L37"/>
    <mergeCell ref="L38:L39"/>
    <mergeCell ref="L40:L41"/>
    <mergeCell ref="L42:L43"/>
    <mergeCell ref="M32:M33"/>
    <mergeCell ref="M34:M35"/>
    <mergeCell ref="M36:M37"/>
    <mergeCell ref="M38:M39"/>
    <mergeCell ref="M40:M41"/>
    <mergeCell ref="M42:M43"/>
    <mergeCell ref="A25:A26"/>
    <mergeCell ref="A39:A40"/>
    <mergeCell ref="A44:A46"/>
    <mergeCell ref="D25:D26"/>
    <mergeCell ref="D39:D40"/>
    <mergeCell ref="D44:D46"/>
    <mergeCell ref="E44:E46"/>
    <mergeCell ref="F44:F46"/>
    <mergeCell ref="G25:G26"/>
    <mergeCell ref="G39:G40"/>
    <mergeCell ref="G44:G46"/>
    <mergeCell ref="B25:C26"/>
    <mergeCell ref="B39:C40"/>
    <mergeCell ref="B44:C46"/>
    <mergeCell ref="B42:C42"/>
    <mergeCell ref="B43:C43"/>
    <mergeCell ref="B67:C67"/>
    <mergeCell ref="D67:E67"/>
    <mergeCell ref="F67:G67"/>
    <mergeCell ref="B68:C68"/>
    <mergeCell ref="D68:E68"/>
    <mergeCell ref="F68:G68"/>
    <mergeCell ref="B69:C69"/>
    <mergeCell ref="D69:E69"/>
    <mergeCell ref="F69:G69"/>
    <mergeCell ref="B64:C64"/>
    <mergeCell ref="D64:E64"/>
    <mergeCell ref="F64:G64"/>
    <mergeCell ref="B65:C65"/>
    <mergeCell ref="D65:E65"/>
    <mergeCell ref="F65:G65"/>
    <mergeCell ref="B66:C66"/>
    <mergeCell ref="D66:E66"/>
    <mergeCell ref="F66:G66"/>
    <mergeCell ref="B61:C61"/>
    <mergeCell ref="D61:E61"/>
    <mergeCell ref="F61:G61"/>
    <mergeCell ref="B62:C62"/>
    <mergeCell ref="D62:E62"/>
    <mergeCell ref="F62:G62"/>
    <mergeCell ref="B63:C63"/>
    <mergeCell ref="D63:E63"/>
    <mergeCell ref="F63:G63"/>
    <mergeCell ref="B50:C50"/>
    <mergeCell ref="J50:M50"/>
    <mergeCell ref="B51:C51"/>
    <mergeCell ref="J51:M51"/>
    <mergeCell ref="A53:H53"/>
    <mergeCell ref="A54:D54"/>
    <mergeCell ref="E54:H54"/>
    <mergeCell ref="D60:E60"/>
    <mergeCell ref="F60:G60"/>
    <mergeCell ref="J53:K54"/>
    <mergeCell ref="L53:M54"/>
    <mergeCell ref="A55:D57"/>
    <mergeCell ref="E55:H57"/>
    <mergeCell ref="J55:K57"/>
    <mergeCell ref="L55:M57"/>
    <mergeCell ref="B47:C47"/>
    <mergeCell ref="J47:M47"/>
    <mergeCell ref="B48:C48"/>
    <mergeCell ref="J48:M48"/>
    <mergeCell ref="B49:C49"/>
    <mergeCell ref="J49:M49"/>
    <mergeCell ref="B32:C32"/>
    <mergeCell ref="B33:C33"/>
    <mergeCell ref="B34:C34"/>
    <mergeCell ref="B35:C35"/>
    <mergeCell ref="B36:C36"/>
    <mergeCell ref="B37:C37"/>
    <mergeCell ref="B38:C38"/>
    <mergeCell ref="E39:F39"/>
    <mergeCell ref="B41:C41"/>
    <mergeCell ref="H39:H40"/>
    <mergeCell ref="H44:H46"/>
    <mergeCell ref="J32:J33"/>
    <mergeCell ref="J34:J35"/>
    <mergeCell ref="J36:J37"/>
    <mergeCell ref="J38:J39"/>
    <mergeCell ref="J40:J41"/>
    <mergeCell ref="J42:J43"/>
    <mergeCell ref="K32:K33"/>
    <mergeCell ref="D24:E24"/>
    <mergeCell ref="G24:H24"/>
    <mergeCell ref="E25:F25"/>
    <mergeCell ref="B27:C27"/>
    <mergeCell ref="B28:C28"/>
    <mergeCell ref="B29:C29"/>
    <mergeCell ref="B30:C30"/>
    <mergeCell ref="B31:C31"/>
    <mergeCell ref="H25:H26"/>
    <mergeCell ref="B17:C17"/>
    <mergeCell ref="B18:C18"/>
    <mergeCell ref="B19:C19"/>
    <mergeCell ref="B20:C20"/>
    <mergeCell ref="J20:M20"/>
    <mergeCell ref="B21:C21"/>
    <mergeCell ref="J21:K21"/>
    <mergeCell ref="L21:M21"/>
    <mergeCell ref="B22:C22"/>
    <mergeCell ref="J17:K18"/>
    <mergeCell ref="J22:K23"/>
    <mergeCell ref="B23:C23"/>
    <mergeCell ref="A13:B13"/>
    <mergeCell ref="C13:G13"/>
    <mergeCell ref="H13:M13"/>
    <mergeCell ref="A15:H15"/>
    <mergeCell ref="J15:M15"/>
    <mergeCell ref="C16:D16"/>
    <mergeCell ref="E16:F16"/>
    <mergeCell ref="G16:H16"/>
    <mergeCell ref="J16:K16"/>
    <mergeCell ref="L16:M16"/>
    <mergeCell ref="A8:B8"/>
    <mergeCell ref="C8:H8"/>
    <mergeCell ref="A10:B10"/>
    <mergeCell ref="C10:G10"/>
    <mergeCell ref="H10:M10"/>
    <mergeCell ref="A11:B11"/>
    <mergeCell ref="C11:G11"/>
    <mergeCell ref="H11:M11"/>
    <mergeCell ref="A12:B12"/>
    <mergeCell ref="C12:G12"/>
    <mergeCell ref="H12:M12"/>
    <mergeCell ref="K1:M1"/>
    <mergeCell ref="K2:M2"/>
    <mergeCell ref="K3:M3"/>
    <mergeCell ref="A5:B5"/>
    <mergeCell ref="C5:H5"/>
    <mergeCell ref="A6:B6"/>
    <mergeCell ref="C6:H6"/>
    <mergeCell ref="A7:B7"/>
    <mergeCell ref="C7:H7"/>
    <mergeCell ref="A1:B3"/>
    <mergeCell ref="C1:J3"/>
  </mergeCells>
  <conditionalFormatting sqref="C24">
    <cfRule type="duplicateValues" dxfId="53" priority="1" stopIfTrue="1"/>
    <cfRule type="duplicateValues" dxfId="52" priority="2" stopIfTrue="1"/>
    <cfRule type="duplicateValues" dxfId="51" priority="3" stopIfTrue="1"/>
    <cfRule type="duplicateValues" dxfId="50" priority="4" stopIfTrue="1"/>
    <cfRule type="duplicateValues" dxfId="49" priority="5" stopIfTrue="1"/>
    <cfRule type="duplicateValues" dxfId="48" priority="6" stopIfTrue="1"/>
  </conditionalFormatting>
  <printOptions horizontalCentered="1"/>
  <pageMargins left="0.23622047244094499" right="0.23622047244094499" top="0.39305555555555599" bottom="0.31458333333333299" header="0.31496062992126" footer="0.31496062992126"/>
  <pageSetup paperSize="9" scale="74" orientation="portrait" horizontalDpi="300" verticalDpi="30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B0F0"/>
    <pageSetUpPr fitToPage="1"/>
  </sheetPr>
  <dimension ref="A1:T72"/>
  <sheetViews>
    <sheetView showGridLines="0" view="pageBreakPreview" zoomScale="70" zoomScaleNormal="100" zoomScaleSheetLayoutView="70" zoomScalePageLayoutView="85" workbookViewId="0">
      <selection activeCell="D34" sqref="D34"/>
    </sheetView>
  </sheetViews>
  <sheetFormatPr defaultColWidth="8.88671875" defaultRowHeight="13.8"/>
  <cols>
    <col min="1" max="1" width="4" style="91" customWidth="1"/>
    <col min="2" max="2" width="19" style="91" customWidth="1"/>
    <col min="3" max="3" width="11.109375" style="91" customWidth="1"/>
    <col min="4" max="4" width="10.109375" style="91" customWidth="1"/>
    <col min="5" max="6" width="9" style="91" customWidth="1"/>
    <col min="7" max="8" width="10.33203125" style="91" customWidth="1"/>
    <col min="9" max="9" width="1.77734375" style="91" customWidth="1"/>
    <col min="10" max="10" width="4" style="91" customWidth="1"/>
    <col min="11" max="11" width="11.109375" style="91" customWidth="1"/>
    <col min="12" max="12" width="4.77734375" style="91" customWidth="1"/>
    <col min="13" max="13" width="16" style="91" customWidth="1"/>
    <col min="14" max="15" width="8.88671875" style="91" customWidth="1"/>
    <col min="16" max="16" width="8" style="91" customWidth="1"/>
    <col min="17" max="17" width="8.88671875" style="91" customWidth="1"/>
    <col min="18" max="18" width="8.88671875" style="91"/>
    <col min="19" max="19" width="9.88671875" style="91" customWidth="1"/>
    <col min="20" max="20" width="50.6640625" style="91" customWidth="1"/>
    <col min="21" max="21" width="35.5546875" style="91" customWidth="1"/>
    <col min="22" max="16384" width="8.88671875" style="91"/>
  </cols>
  <sheetData>
    <row r="1" spans="1:20" ht="19.05" customHeight="1">
      <c r="A1" s="705"/>
      <c r="B1" s="706"/>
      <c r="C1" s="711" t="s">
        <v>178</v>
      </c>
      <c r="D1" s="712"/>
      <c r="E1" s="712"/>
      <c r="F1" s="712"/>
      <c r="G1" s="712"/>
      <c r="H1" s="712"/>
      <c r="I1" s="712"/>
      <c r="J1" s="712"/>
      <c r="K1" s="712"/>
      <c r="L1" s="712"/>
      <c r="M1" s="712"/>
      <c r="N1" s="330" t="s">
        <v>179</v>
      </c>
      <c r="O1" s="330"/>
      <c r="P1" s="330"/>
      <c r="Q1" s="331"/>
    </row>
    <row r="2" spans="1:20" ht="19.05" customHeight="1">
      <c r="A2" s="707"/>
      <c r="B2" s="708"/>
      <c r="C2" s="714"/>
      <c r="D2" s="581"/>
      <c r="E2" s="581"/>
      <c r="F2" s="581"/>
      <c r="G2" s="581"/>
      <c r="H2" s="581"/>
      <c r="I2" s="581"/>
      <c r="J2" s="581"/>
      <c r="K2" s="581"/>
      <c r="L2" s="581"/>
      <c r="M2" s="581"/>
      <c r="N2" s="333" t="s">
        <v>114</v>
      </c>
      <c r="O2" s="333"/>
      <c r="P2" s="333"/>
      <c r="Q2" s="334"/>
    </row>
    <row r="3" spans="1:20" ht="19.05" customHeight="1">
      <c r="A3" s="709"/>
      <c r="B3" s="710"/>
      <c r="C3" s="715"/>
      <c r="D3" s="716"/>
      <c r="E3" s="716"/>
      <c r="F3" s="716"/>
      <c r="G3" s="716"/>
      <c r="H3" s="716"/>
      <c r="I3" s="716"/>
      <c r="J3" s="716"/>
      <c r="K3" s="716"/>
      <c r="L3" s="716"/>
      <c r="M3" s="716"/>
      <c r="N3" s="336" t="s">
        <v>165</v>
      </c>
      <c r="O3" s="336"/>
      <c r="P3" s="336"/>
      <c r="Q3" s="337"/>
      <c r="T3" s="94"/>
    </row>
    <row r="4" spans="1:20" ht="15" customHeight="1">
      <c r="A4" s="107"/>
      <c r="C4" s="178"/>
      <c r="T4" s="94"/>
    </row>
    <row r="5" spans="1:20" ht="15" customHeight="1">
      <c r="A5" s="576" t="s">
        <v>116</v>
      </c>
      <c r="B5" s="576"/>
      <c r="C5" s="575" t="str">
        <f>'In 2'!C5</f>
        <v>26BA2HKH00563000029</v>
      </c>
      <c r="D5" s="575"/>
      <c r="E5" s="575"/>
      <c r="F5" s="575"/>
      <c r="G5" s="575"/>
      <c r="H5" s="575"/>
      <c r="I5" s="92"/>
      <c r="J5" s="92"/>
      <c r="K5" s="179"/>
      <c r="M5" s="92" t="s">
        <v>3</v>
      </c>
      <c r="N5" s="235" t="str">
        <f>'In 2'!K5</f>
        <v>SX2607045</v>
      </c>
      <c r="T5" s="94"/>
    </row>
    <row r="6" spans="1:20" ht="15" customHeight="1">
      <c r="A6" s="577" t="s">
        <v>117</v>
      </c>
      <c r="B6" s="577"/>
      <c r="C6" s="338" t="str">
        <f>'In 2'!C6</f>
        <v>BT1KH00563KP0004</v>
      </c>
      <c r="D6" s="338"/>
      <c r="E6" s="338"/>
      <c r="F6" s="338"/>
      <c r="G6" s="338"/>
      <c r="H6" s="338"/>
      <c r="I6" s="92"/>
      <c r="J6" s="92"/>
      <c r="K6" s="94"/>
      <c r="M6" s="92" t="s">
        <v>184</v>
      </c>
      <c r="N6" s="91" t="s">
        <v>169</v>
      </c>
      <c r="T6" s="94"/>
    </row>
    <row r="7" spans="1:20" ht="15" customHeight="1">
      <c r="A7" s="577" t="s">
        <v>120</v>
      </c>
      <c r="B7" s="577"/>
      <c r="C7" s="338" t="str">
        <f>'In 2'!C7</f>
        <v>Bao giấy 25kg AM-20 Tân Châu</v>
      </c>
      <c r="D7" s="338"/>
      <c r="E7" s="338"/>
      <c r="F7" s="338"/>
      <c r="G7" s="338"/>
      <c r="H7" s="338"/>
      <c r="I7" s="180"/>
      <c r="J7" s="180"/>
      <c r="K7" s="181"/>
      <c r="M7" s="311" t="s">
        <v>121</v>
      </c>
      <c r="N7" s="312" t="s">
        <v>387</v>
      </c>
      <c r="O7" s="313"/>
      <c r="T7" s="94"/>
    </row>
    <row r="8" spans="1:20" ht="31.8" customHeight="1">
      <c r="A8" s="577" t="s">
        <v>123</v>
      </c>
      <c r="B8" s="577"/>
      <c r="C8" s="575" t="str">
        <f>'In 2'!C8</f>
        <v xml:space="preserve">NHÀ MÁY SX TINH BỘT SẮN TÂN CHÂU-CN CÔNG TY CPNS THỰC PHẨM QUẢNG NGÃI					</v>
      </c>
      <c r="D8" s="575"/>
      <c r="E8" s="575"/>
      <c r="F8" s="575"/>
      <c r="G8" s="575"/>
      <c r="H8" s="575"/>
      <c r="I8" s="180"/>
      <c r="J8" s="180"/>
      <c r="K8" s="94"/>
      <c r="M8" s="311" t="s">
        <v>124</v>
      </c>
      <c r="N8" s="312" t="s">
        <v>387</v>
      </c>
      <c r="O8" s="313"/>
      <c r="T8" s="94"/>
    </row>
    <row r="9" spans="1:20" ht="15" customHeight="1">
      <c r="A9" s="94"/>
      <c r="B9" s="94"/>
      <c r="C9" s="94"/>
      <c r="D9" s="94"/>
      <c r="E9" s="94"/>
      <c r="I9" s="94"/>
      <c r="K9" s="94"/>
      <c r="T9" s="94"/>
    </row>
    <row r="10" spans="1:20" ht="19.05" customHeight="1">
      <c r="A10" s="345"/>
      <c r="B10" s="346"/>
      <c r="C10" s="392" t="s">
        <v>125</v>
      </c>
      <c r="D10" s="393"/>
      <c r="E10" s="393"/>
      <c r="F10" s="393"/>
      <c r="G10" s="393"/>
      <c r="H10" s="393"/>
      <c r="I10" s="393"/>
      <c r="J10" s="394"/>
      <c r="K10" s="392" t="s">
        <v>126</v>
      </c>
      <c r="L10" s="393"/>
      <c r="M10" s="393"/>
      <c r="N10" s="393"/>
      <c r="O10" s="393"/>
      <c r="P10" s="393"/>
      <c r="Q10" s="666"/>
      <c r="T10" s="94"/>
    </row>
    <row r="11" spans="1:20" ht="19.05" customHeight="1">
      <c r="A11" s="440" t="s">
        <v>127</v>
      </c>
      <c r="B11" s="441"/>
      <c r="C11" s="864" t="s">
        <v>358</v>
      </c>
      <c r="D11" s="865"/>
      <c r="E11" s="865"/>
      <c r="F11" s="865"/>
      <c r="G11" s="865"/>
      <c r="H11" s="865"/>
      <c r="I11" s="865"/>
      <c r="J11" s="866"/>
      <c r="K11" s="864" t="s">
        <v>358</v>
      </c>
      <c r="L11" s="865"/>
      <c r="M11" s="865"/>
      <c r="N11" s="865"/>
      <c r="O11" s="865"/>
      <c r="P11" s="865"/>
      <c r="Q11" s="867"/>
      <c r="T11" s="94"/>
    </row>
    <row r="12" spans="1:20" ht="19.05" customHeight="1">
      <c r="A12" s="440" t="s">
        <v>129</v>
      </c>
      <c r="B12" s="441"/>
      <c r="C12" s="864" t="s">
        <v>130</v>
      </c>
      <c r="D12" s="865"/>
      <c r="E12" s="865"/>
      <c r="F12" s="865"/>
      <c r="G12" s="865"/>
      <c r="H12" s="865"/>
      <c r="I12" s="865"/>
      <c r="J12" s="866"/>
      <c r="K12" s="864" t="s">
        <v>357</v>
      </c>
      <c r="L12" s="865"/>
      <c r="M12" s="865"/>
      <c r="N12" s="865"/>
      <c r="O12" s="865"/>
      <c r="P12" s="865"/>
      <c r="Q12" s="867"/>
      <c r="T12" s="94"/>
    </row>
    <row r="13" spans="1:20" ht="19.05" customHeight="1">
      <c r="A13" s="448" t="s">
        <v>132</v>
      </c>
      <c r="B13" s="449"/>
      <c r="C13" s="417"/>
      <c r="D13" s="591"/>
      <c r="E13" s="591"/>
      <c r="F13" s="591"/>
      <c r="G13" s="591"/>
      <c r="H13" s="591"/>
      <c r="I13" s="591"/>
      <c r="J13" s="422"/>
      <c r="K13" s="868"/>
      <c r="L13" s="869"/>
      <c r="M13" s="869"/>
      <c r="N13" s="869"/>
      <c r="O13" s="869"/>
      <c r="P13" s="869"/>
      <c r="Q13" s="870"/>
      <c r="T13" s="94"/>
    </row>
    <row r="14" spans="1:20">
      <c r="T14" s="94"/>
    </row>
    <row r="15" spans="1:20" ht="24" customHeight="1">
      <c r="A15" s="871" t="s">
        <v>170</v>
      </c>
      <c r="B15" s="409"/>
      <c r="C15" s="409"/>
      <c r="D15" s="409"/>
      <c r="E15" s="409"/>
      <c r="F15" s="409"/>
      <c r="G15" s="409"/>
      <c r="H15" s="872"/>
      <c r="J15" s="348" t="s">
        <v>185</v>
      </c>
      <c r="K15" s="349"/>
      <c r="L15" s="349"/>
      <c r="M15" s="349"/>
      <c r="N15" s="349"/>
      <c r="O15" s="349"/>
      <c r="P15" s="349"/>
      <c r="Q15" s="350"/>
      <c r="T15" s="94"/>
    </row>
    <row r="16" spans="1:20" ht="18" customHeight="1">
      <c r="A16" s="182" t="s">
        <v>240</v>
      </c>
      <c r="B16" s="97"/>
      <c r="C16" s="718">
        <f>Tráng!M9</f>
        <v>4600</v>
      </c>
      <c r="D16" s="873"/>
      <c r="E16" s="873"/>
      <c r="F16" s="873" t="s">
        <v>55</v>
      </c>
      <c r="G16" s="873"/>
      <c r="H16" s="722"/>
      <c r="J16" s="354" t="s">
        <v>137</v>
      </c>
      <c r="K16" s="644"/>
      <c r="L16" s="644"/>
      <c r="M16" s="644"/>
      <c r="N16" s="644" t="s">
        <v>138</v>
      </c>
      <c r="O16" s="644"/>
      <c r="P16" s="644"/>
      <c r="Q16" s="645"/>
      <c r="T16" s="93"/>
    </row>
    <row r="17" spans="1:20" ht="18" customHeight="1">
      <c r="A17" s="888" t="s">
        <v>241</v>
      </c>
      <c r="B17" s="889"/>
      <c r="C17" s="864"/>
      <c r="D17" s="865"/>
      <c r="E17" s="865"/>
      <c r="F17" s="865"/>
      <c r="G17" s="865"/>
      <c r="H17" s="867"/>
      <c r="J17" s="435"/>
      <c r="K17" s="737"/>
      <c r="L17" s="737"/>
      <c r="M17" s="436"/>
      <c r="N17" s="739"/>
      <c r="O17" s="737"/>
      <c r="P17" s="737"/>
      <c r="Q17" s="740"/>
      <c r="T17" s="94"/>
    </row>
    <row r="18" spans="1:20" ht="18" customHeight="1">
      <c r="A18" s="890"/>
      <c r="B18" s="891"/>
      <c r="C18" s="864"/>
      <c r="D18" s="865"/>
      <c r="E18" s="865"/>
      <c r="F18" s="865"/>
      <c r="G18" s="865"/>
      <c r="H18" s="867"/>
      <c r="J18" s="670"/>
      <c r="K18" s="402"/>
      <c r="L18" s="402"/>
      <c r="M18" s="671"/>
      <c r="N18" s="741"/>
      <c r="O18" s="402"/>
      <c r="P18" s="402"/>
      <c r="Q18" s="742"/>
      <c r="T18" s="94"/>
    </row>
    <row r="19" spans="1:20" ht="18" customHeight="1">
      <c r="A19" s="182" t="s">
        <v>242</v>
      </c>
      <c r="B19" s="97"/>
      <c r="C19" s="874">
        <f>G22+G23</f>
        <v>98.44</v>
      </c>
      <c r="D19" s="875"/>
      <c r="E19" s="446"/>
      <c r="F19" s="374" t="s">
        <v>51</v>
      </c>
      <c r="G19" s="375"/>
      <c r="H19" s="376"/>
      <c r="J19" s="672"/>
      <c r="K19" s="738"/>
      <c r="L19" s="738"/>
      <c r="M19" s="673"/>
      <c r="N19" s="743"/>
      <c r="O19" s="738"/>
      <c r="P19" s="738"/>
      <c r="Q19" s="744"/>
      <c r="T19" s="94"/>
    </row>
    <row r="20" spans="1:20" ht="18" customHeight="1">
      <c r="A20" s="183" t="s">
        <v>32</v>
      </c>
      <c r="B20" s="184" t="s">
        <v>33</v>
      </c>
      <c r="C20" s="644" t="s">
        <v>34</v>
      </c>
      <c r="D20" s="663"/>
      <c r="E20" s="184" t="s">
        <v>188</v>
      </c>
      <c r="F20" s="185" t="s">
        <v>6</v>
      </c>
      <c r="G20" s="185" t="s">
        <v>189</v>
      </c>
      <c r="H20" s="186" t="s">
        <v>190</v>
      </c>
      <c r="T20" s="94"/>
    </row>
    <row r="21" spans="1:20" ht="23.4" customHeight="1">
      <c r="A21" s="140">
        <v>2</v>
      </c>
      <c r="B21" s="104" t="str">
        <f>Tráng!C17</f>
        <v>Mành trắng K1060 ĐL70</v>
      </c>
      <c r="C21" s="733" t="str">
        <f>Tráng!D17</f>
        <v>MW07010600001</v>
      </c>
      <c r="D21" s="446"/>
      <c r="E21" s="188"/>
      <c r="F21" s="114" t="s">
        <v>51</v>
      </c>
      <c r="G21" s="189">
        <f>Tráng!G17</f>
        <v>344.54</v>
      </c>
      <c r="H21" s="190"/>
      <c r="J21" s="348" t="s">
        <v>192</v>
      </c>
      <c r="K21" s="349"/>
      <c r="L21" s="349"/>
      <c r="M21" s="349"/>
      <c r="N21" s="349"/>
      <c r="O21" s="349"/>
      <c r="P21" s="349"/>
      <c r="Q21" s="350"/>
      <c r="T21" s="94"/>
    </row>
    <row r="22" spans="1:20" ht="18" customHeight="1">
      <c r="A22" s="140">
        <v>3</v>
      </c>
      <c r="B22" s="148" t="str">
        <f>Tráng!C18</f>
        <v>F801C</v>
      </c>
      <c r="C22" s="733" t="str">
        <f>Tráng!D18</f>
        <v>NHPPNSF801C001</v>
      </c>
      <c r="D22" s="446"/>
      <c r="E22" s="188">
        <v>0.9</v>
      </c>
      <c r="F22" s="114" t="s">
        <v>51</v>
      </c>
      <c r="G22" s="189">
        <f>Tráng!G18</f>
        <v>88.596000000000004</v>
      </c>
      <c r="H22" s="115"/>
      <c r="J22" s="354" t="s">
        <v>137</v>
      </c>
      <c r="K22" s="644"/>
      <c r="L22" s="644"/>
      <c r="M22" s="644"/>
      <c r="N22" s="644" t="s">
        <v>138</v>
      </c>
      <c r="O22" s="644"/>
      <c r="P22" s="644"/>
      <c r="Q22" s="645"/>
      <c r="T22" s="94"/>
    </row>
    <row r="23" spans="1:20" ht="18" customHeight="1">
      <c r="A23" s="140">
        <v>4</v>
      </c>
      <c r="B23" s="148" t="str">
        <f>Tráng!C19</f>
        <v>Taical</v>
      </c>
      <c r="C23" s="733" t="str">
        <f>Tráng!D19</f>
        <v>NHTEFPP010511</v>
      </c>
      <c r="D23" s="446"/>
      <c r="E23" s="188">
        <v>0.1</v>
      </c>
      <c r="F23" s="114" t="s">
        <v>51</v>
      </c>
      <c r="G23" s="189">
        <f>Tráng!G19</f>
        <v>9.8440000000000012</v>
      </c>
      <c r="H23" s="115"/>
      <c r="J23" s="370"/>
      <c r="K23" s="371"/>
      <c r="L23" s="371"/>
      <c r="M23" s="371"/>
      <c r="N23" s="371"/>
      <c r="O23" s="371"/>
      <c r="P23" s="371"/>
      <c r="Q23" s="646"/>
      <c r="T23" s="94"/>
    </row>
    <row r="24" spans="1:20" ht="31.95" customHeight="1" thickBot="1">
      <c r="A24" s="165"/>
      <c r="B24" s="194"/>
      <c r="C24" s="759"/>
      <c r="D24" s="447"/>
      <c r="E24" s="236"/>
      <c r="F24" s="219"/>
      <c r="G24" s="237"/>
      <c r="H24" s="117"/>
      <c r="J24" s="405"/>
      <c r="K24" s="439"/>
      <c r="L24" s="439"/>
      <c r="M24" s="439"/>
      <c r="N24" s="439"/>
      <c r="O24" s="439"/>
      <c r="P24" s="439"/>
      <c r="Q24" s="658"/>
      <c r="T24" s="94"/>
    </row>
    <row r="25" spans="1:20" ht="15.6">
      <c r="A25" s="107"/>
      <c r="B25" s="111"/>
      <c r="C25" s="94"/>
      <c r="D25" s="94"/>
      <c r="E25" s="271"/>
      <c r="F25" s="233"/>
      <c r="G25" s="265"/>
      <c r="J25" s="348" t="s">
        <v>369</v>
      </c>
      <c r="K25" s="349"/>
      <c r="L25" s="349"/>
      <c r="M25" s="349"/>
      <c r="N25" s="349"/>
      <c r="O25" s="349"/>
      <c r="P25" s="349"/>
      <c r="Q25" s="350"/>
      <c r="T25" s="94"/>
    </row>
    <row r="26" spans="1:20" ht="15.6">
      <c r="A26" s="107"/>
      <c r="B26" s="111"/>
      <c r="C26" s="94"/>
      <c r="D26" s="94"/>
      <c r="E26" s="271"/>
      <c r="F26" s="233"/>
      <c r="G26" s="265"/>
      <c r="J26" s="354" t="s">
        <v>137</v>
      </c>
      <c r="K26" s="644"/>
      <c r="L26" s="644"/>
      <c r="M26" s="644"/>
      <c r="N26" s="644" t="s">
        <v>138</v>
      </c>
      <c r="O26" s="644"/>
      <c r="P26" s="644"/>
      <c r="Q26" s="645"/>
      <c r="T26" s="94"/>
    </row>
    <row r="27" spans="1:20" ht="45.6" customHeight="1">
      <c r="A27" s="107"/>
      <c r="B27" s="111"/>
      <c r="C27" s="94"/>
      <c r="D27" s="94"/>
      <c r="E27" s="271"/>
      <c r="F27" s="233"/>
      <c r="G27" s="265"/>
      <c r="J27" s="370"/>
      <c r="K27" s="371"/>
      <c r="L27" s="371"/>
      <c r="M27" s="371"/>
      <c r="N27" s="371"/>
      <c r="O27" s="371"/>
      <c r="P27" s="371"/>
      <c r="Q27" s="646"/>
      <c r="T27" s="94"/>
    </row>
    <row r="28" spans="1:20" ht="18" customHeight="1" thickBot="1">
      <c r="B28" s="111"/>
      <c r="C28" s="94"/>
      <c r="D28" s="339"/>
      <c r="E28" s="339"/>
      <c r="F28" s="197"/>
      <c r="G28" s="402"/>
      <c r="H28" s="402"/>
      <c r="J28" s="405"/>
      <c r="K28" s="439"/>
      <c r="L28" s="439"/>
      <c r="M28" s="439"/>
      <c r="N28" s="439"/>
      <c r="O28" s="439"/>
      <c r="P28" s="439"/>
      <c r="Q28" s="658"/>
      <c r="T28" s="94"/>
    </row>
    <row r="29" spans="1:20" ht="18" customHeight="1">
      <c r="A29" s="348" t="s">
        <v>32</v>
      </c>
      <c r="B29" s="349" t="s">
        <v>195</v>
      </c>
      <c r="C29" s="349"/>
      <c r="D29" s="352" t="s">
        <v>196</v>
      </c>
      <c r="E29" s="601" t="s">
        <v>197</v>
      </c>
      <c r="F29" s="601"/>
      <c r="G29" s="349" t="s">
        <v>35</v>
      </c>
      <c r="H29" s="350" t="s">
        <v>138</v>
      </c>
      <c r="J29" s="348" t="s">
        <v>32</v>
      </c>
      <c r="K29" s="349" t="s">
        <v>211</v>
      </c>
      <c r="L29" s="349"/>
      <c r="M29" s="352" t="s">
        <v>196</v>
      </c>
      <c r="N29" s="601" t="s">
        <v>197</v>
      </c>
      <c r="O29" s="601"/>
      <c r="P29" s="349" t="s">
        <v>35</v>
      </c>
      <c r="Q29" s="350" t="s">
        <v>138</v>
      </c>
      <c r="R29" s="201"/>
      <c r="T29" s="94"/>
    </row>
    <row r="30" spans="1:20" ht="18" customHeight="1">
      <c r="A30" s="643"/>
      <c r="B30" s="644"/>
      <c r="C30" s="644"/>
      <c r="D30" s="355"/>
      <c r="E30" s="184" t="s">
        <v>202</v>
      </c>
      <c r="F30" s="184" t="s">
        <v>202</v>
      </c>
      <c r="G30" s="644"/>
      <c r="H30" s="645"/>
      <c r="J30" s="643"/>
      <c r="K30" s="644"/>
      <c r="L30" s="644"/>
      <c r="M30" s="355"/>
      <c r="N30" s="184" t="s">
        <v>202</v>
      </c>
      <c r="O30" s="184" t="s">
        <v>202</v>
      </c>
      <c r="P30" s="644"/>
      <c r="Q30" s="645"/>
      <c r="R30" s="201"/>
      <c r="T30" s="94"/>
    </row>
    <row r="31" spans="1:20" ht="19.95" customHeight="1">
      <c r="A31" s="140">
        <v>1</v>
      </c>
      <c r="B31" s="733" t="s">
        <v>243</v>
      </c>
      <c r="C31" s="446"/>
      <c r="D31" s="222" t="s">
        <v>370</v>
      </c>
      <c r="E31" s="148"/>
      <c r="F31" s="230"/>
      <c r="G31" s="114" t="s">
        <v>371</v>
      </c>
      <c r="H31" s="115"/>
      <c r="J31" s="140">
        <v>1</v>
      </c>
      <c r="K31" s="441" t="s">
        <v>244</v>
      </c>
      <c r="L31" s="441"/>
      <c r="M31" s="234" t="s">
        <v>245</v>
      </c>
      <c r="N31" s="148"/>
      <c r="O31" s="230"/>
      <c r="P31" s="114" t="s">
        <v>140</v>
      </c>
      <c r="Q31" s="204"/>
      <c r="R31" s="202"/>
      <c r="T31" s="94"/>
    </row>
    <row r="32" spans="1:20" ht="19.95" customHeight="1">
      <c r="A32" s="140">
        <v>2</v>
      </c>
      <c r="B32" s="733" t="s">
        <v>225</v>
      </c>
      <c r="C32" s="446"/>
      <c r="D32" s="238" t="s">
        <v>246</v>
      </c>
      <c r="E32" s="148"/>
      <c r="F32" s="230"/>
      <c r="G32" s="114" t="s">
        <v>227</v>
      </c>
      <c r="H32" s="115"/>
      <c r="J32" s="140">
        <v>2</v>
      </c>
      <c r="K32" s="441" t="s">
        <v>247</v>
      </c>
      <c r="L32" s="441"/>
      <c r="M32" s="222">
        <v>1040</v>
      </c>
      <c r="N32" s="148"/>
      <c r="O32" s="230"/>
      <c r="P32" s="114" t="s">
        <v>140</v>
      </c>
      <c r="Q32" s="204"/>
      <c r="R32" s="202"/>
      <c r="T32" s="94"/>
    </row>
    <row r="33" spans="1:20" ht="19.95" customHeight="1">
      <c r="A33" s="140">
        <v>3</v>
      </c>
      <c r="B33" s="733" t="s">
        <v>248</v>
      </c>
      <c r="C33" s="446"/>
      <c r="D33" s="149" t="s">
        <v>249</v>
      </c>
      <c r="E33" s="148"/>
      <c r="F33" s="231"/>
      <c r="G33" s="114" t="s">
        <v>250</v>
      </c>
      <c r="H33" s="115"/>
      <c r="J33" s="140">
        <v>3</v>
      </c>
      <c r="K33" s="441" t="s">
        <v>251</v>
      </c>
      <c r="L33" s="441"/>
      <c r="M33" s="222" t="s">
        <v>252</v>
      </c>
      <c r="N33" s="148"/>
      <c r="O33" s="230"/>
      <c r="P33" s="114" t="s">
        <v>253</v>
      </c>
      <c r="Q33" s="204"/>
      <c r="R33" s="202"/>
      <c r="T33" s="94"/>
    </row>
    <row r="34" spans="1:20" ht="19.95" customHeight="1">
      <c r="A34" s="140">
        <v>4</v>
      </c>
      <c r="B34" s="733" t="s">
        <v>254</v>
      </c>
      <c r="C34" s="446"/>
      <c r="D34" s="149" t="s">
        <v>372</v>
      </c>
      <c r="E34" s="148"/>
      <c r="F34" s="230"/>
      <c r="G34" s="114" t="s">
        <v>255</v>
      </c>
      <c r="H34" s="115"/>
      <c r="J34" s="140">
        <v>4</v>
      </c>
      <c r="K34" s="441" t="s">
        <v>256</v>
      </c>
      <c r="L34" s="441"/>
      <c r="M34" s="149">
        <v>20</v>
      </c>
      <c r="N34" s="148"/>
      <c r="O34" s="231"/>
      <c r="P34" s="114" t="s">
        <v>253</v>
      </c>
      <c r="Q34" s="204"/>
      <c r="R34" s="202"/>
      <c r="T34" s="94"/>
    </row>
    <row r="35" spans="1:20" ht="19.95" customHeight="1">
      <c r="A35" s="140">
        <v>5</v>
      </c>
      <c r="B35" s="733" t="s">
        <v>208</v>
      </c>
      <c r="C35" s="446"/>
      <c r="D35" s="149" t="s">
        <v>373</v>
      </c>
      <c r="E35" s="148"/>
      <c r="F35" s="230"/>
      <c r="G35" s="114" t="s">
        <v>207</v>
      </c>
      <c r="H35" s="115"/>
      <c r="J35" s="140">
        <v>5</v>
      </c>
      <c r="K35" s="441" t="s">
        <v>216</v>
      </c>
      <c r="L35" s="441"/>
      <c r="M35" s="239" t="s">
        <v>257</v>
      </c>
      <c r="N35" s="148"/>
      <c r="O35" s="230"/>
      <c r="P35" s="114"/>
      <c r="Q35" s="225"/>
      <c r="R35" s="201"/>
      <c r="T35" s="94"/>
    </row>
    <row r="36" spans="1:20" ht="19.95" customHeight="1">
      <c r="A36" s="140">
        <v>6</v>
      </c>
      <c r="B36" s="733" t="s">
        <v>258</v>
      </c>
      <c r="C36" s="446"/>
      <c r="D36" s="149" t="s">
        <v>259</v>
      </c>
      <c r="E36" s="148"/>
      <c r="F36" s="230"/>
      <c r="G36" s="114" t="s">
        <v>255</v>
      </c>
      <c r="H36" s="115"/>
      <c r="J36" s="464">
        <v>6</v>
      </c>
      <c r="K36" s="441" t="s">
        <v>218</v>
      </c>
      <c r="L36" s="441"/>
      <c r="M36" s="892" t="s">
        <v>260</v>
      </c>
      <c r="N36" s="886"/>
      <c r="O36" s="886"/>
      <c r="P36" s="886"/>
      <c r="Q36" s="645"/>
      <c r="R36" s="202"/>
      <c r="T36" s="94"/>
    </row>
    <row r="37" spans="1:20" ht="19.95" customHeight="1">
      <c r="A37" s="140">
        <v>7</v>
      </c>
      <c r="B37" s="733" t="s">
        <v>261</v>
      </c>
      <c r="C37" s="446"/>
      <c r="D37" s="149" t="s">
        <v>259</v>
      </c>
      <c r="E37" s="148"/>
      <c r="F37" s="230"/>
      <c r="G37" s="114" t="s">
        <v>255</v>
      </c>
      <c r="H37" s="115"/>
      <c r="J37" s="457"/>
      <c r="K37" s="441"/>
      <c r="L37" s="441"/>
      <c r="M37" s="893"/>
      <c r="N37" s="886"/>
      <c r="O37" s="886"/>
      <c r="P37" s="886"/>
      <c r="Q37" s="645"/>
      <c r="R37" s="202"/>
      <c r="T37" s="94"/>
    </row>
    <row r="38" spans="1:20" ht="19.95" customHeight="1" thickBot="1">
      <c r="A38" s="140">
        <v>8</v>
      </c>
      <c r="B38" s="733" t="s">
        <v>262</v>
      </c>
      <c r="C38" s="446"/>
      <c r="D38" s="149" t="s">
        <v>259</v>
      </c>
      <c r="E38" s="148"/>
      <c r="F38" s="230"/>
      <c r="G38" s="114" t="s">
        <v>255</v>
      </c>
      <c r="H38" s="115"/>
      <c r="J38" s="749"/>
      <c r="K38" s="449"/>
      <c r="L38" s="449"/>
      <c r="M38" s="894"/>
      <c r="N38" s="887"/>
      <c r="O38" s="887"/>
      <c r="P38" s="887"/>
      <c r="Q38" s="429"/>
      <c r="R38" s="202"/>
      <c r="T38" s="94"/>
    </row>
    <row r="39" spans="1:20" ht="19.95" customHeight="1" thickBot="1">
      <c r="A39" s="140">
        <v>9</v>
      </c>
      <c r="B39" s="733" t="s">
        <v>263</v>
      </c>
      <c r="C39" s="446"/>
      <c r="D39" s="149" t="s">
        <v>259</v>
      </c>
      <c r="E39" s="148"/>
      <c r="F39" s="230"/>
      <c r="G39" s="114" t="s">
        <v>255</v>
      </c>
      <c r="H39" s="115"/>
      <c r="R39" s="202"/>
      <c r="T39" s="94"/>
    </row>
    <row r="40" spans="1:20" ht="19.95" customHeight="1">
      <c r="A40" s="140">
        <v>10</v>
      </c>
      <c r="B40" s="733" t="s">
        <v>264</v>
      </c>
      <c r="C40" s="446"/>
      <c r="D40" s="149" t="s">
        <v>259</v>
      </c>
      <c r="E40" s="148"/>
      <c r="F40" s="230"/>
      <c r="G40" s="114" t="s">
        <v>255</v>
      </c>
      <c r="H40" s="115"/>
      <c r="J40" s="240" t="s">
        <v>32</v>
      </c>
      <c r="K40" s="349" t="s">
        <v>147</v>
      </c>
      <c r="L40" s="349"/>
      <c r="M40" s="349"/>
      <c r="N40" s="349" t="s">
        <v>129</v>
      </c>
      <c r="O40" s="349"/>
      <c r="P40" s="349" t="s">
        <v>194</v>
      </c>
      <c r="Q40" s="350"/>
      <c r="R40" s="202"/>
      <c r="T40" s="94"/>
    </row>
    <row r="41" spans="1:20" ht="19.95" customHeight="1">
      <c r="A41" s="140">
        <v>11</v>
      </c>
      <c r="B41" s="733" t="s">
        <v>265</v>
      </c>
      <c r="C41" s="446"/>
      <c r="D41" s="149" t="s">
        <v>259</v>
      </c>
      <c r="E41" s="148"/>
      <c r="F41" s="230"/>
      <c r="G41" s="114" t="s">
        <v>255</v>
      </c>
      <c r="H41" s="115"/>
      <c r="J41" s="140">
        <v>1</v>
      </c>
      <c r="K41" s="644"/>
      <c r="L41" s="644"/>
      <c r="M41" s="644"/>
      <c r="N41" s="644"/>
      <c r="O41" s="644"/>
      <c r="P41" s="644"/>
      <c r="Q41" s="645"/>
      <c r="R41" s="202"/>
      <c r="T41" s="94"/>
    </row>
    <row r="42" spans="1:20" ht="19.95" customHeight="1">
      <c r="A42" s="140">
        <v>12</v>
      </c>
      <c r="B42" s="733" t="s">
        <v>266</v>
      </c>
      <c r="C42" s="446"/>
      <c r="D42" s="149" t="s">
        <v>259</v>
      </c>
      <c r="E42" s="148"/>
      <c r="F42" s="230"/>
      <c r="G42" s="114" t="s">
        <v>255</v>
      </c>
      <c r="H42" s="115"/>
      <c r="J42" s="140">
        <v>2</v>
      </c>
      <c r="K42" s="644"/>
      <c r="L42" s="644"/>
      <c r="M42" s="644"/>
      <c r="N42" s="644"/>
      <c r="O42" s="644"/>
      <c r="P42" s="644"/>
      <c r="Q42" s="645"/>
      <c r="R42" s="202"/>
      <c r="T42" s="94"/>
    </row>
    <row r="43" spans="1:20" ht="19.95" customHeight="1">
      <c r="A43" s="140">
        <v>13</v>
      </c>
      <c r="B43" s="733" t="s">
        <v>374</v>
      </c>
      <c r="C43" s="446"/>
      <c r="D43" s="149" t="s">
        <v>375</v>
      </c>
      <c r="E43" s="148"/>
      <c r="F43" s="230"/>
      <c r="G43" s="114" t="s">
        <v>255</v>
      </c>
      <c r="H43" s="115"/>
      <c r="J43" s="140">
        <v>3</v>
      </c>
      <c r="K43" s="585"/>
      <c r="L43" s="586"/>
      <c r="M43" s="628"/>
      <c r="N43" s="585"/>
      <c r="O43" s="628"/>
      <c r="P43" s="585"/>
      <c r="Q43" s="587"/>
      <c r="R43" s="202"/>
      <c r="T43" s="94"/>
    </row>
    <row r="44" spans="1:20" ht="19.95" customHeight="1">
      <c r="A44" s="140">
        <v>14</v>
      </c>
      <c r="B44" s="733" t="s">
        <v>267</v>
      </c>
      <c r="C44" s="446"/>
      <c r="D44" s="149" t="s">
        <v>376</v>
      </c>
      <c r="E44" s="148"/>
      <c r="F44" s="230"/>
      <c r="G44" s="114" t="s">
        <v>255</v>
      </c>
      <c r="H44" s="115"/>
      <c r="J44" s="140">
        <v>4</v>
      </c>
      <c r="K44" s="644"/>
      <c r="L44" s="644"/>
      <c r="M44" s="644"/>
      <c r="N44" s="644"/>
      <c r="O44" s="644"/>
      <c r="P44" s="644"/>
      <c r="Q44" s="645"/>
      <c r="R44" s="202"/>
      <c r="T44" s="94"/>
    </row>
    <row r="45" spans="1:20" ht="19.95" customHeight="1">
      <c r="A45" s="140">
        <v>15</v>
      </c>
      <c r="B45" s="733" t="s">
        <v>268</v>
      </c>
      <c r="C45" s="446"/>
      <c r="D45" s="149" t="s">
        <v>270</v>
      </c>
      <c r="E45" s="148"/>
      <c r="F45" s="241"/>
      <c r="G45" s="114" t="s">
        <v>255</v>
      </c>
      <c r="H45" s="115"/>
      <c r="J45" s="140">
        <v>5</v>
      </c>
      <c r="K45" s="644"/>
      <c r="L45" s="644"/>
      <c r="M45" s="644"/>
      <c r="N45" s="644"/>
      <c r="O45" s="644"/>
      <c r="P45" s="644"/>
      <c r="Q45" s="645"/>
      <c r="R45" s="202"/>
      <c r="T45" s="94"/>
    </row>
    <row r="46" spans="1:20" ht="19.95" customHeight="1" thickBot="1">
      <c r="A46" s="140">
        <v>16</v>
      </c>
      <c r="B46" s="733" t="s">
        <v>269</v>
      </c>
      <c r="C46" s="446"/>
      <c r="D46" s="149" t="s">
        <v>377</v>
      </c>
      <c r="E46" s="148"/>
      <c r="F46" s="241"/>
      <c r="G46" s="114" t="s">
        <v>255</v>
      </c>
      <c r="H46" s="115"/>
      <c r="J46" s="140">
        <v>6</v>
      </c>
      <c r="K46" s="659"/>
      <c r="L46" s="659"/>
      <c r="M46" s="659"/>
      <c r="N46" s="659"/>
      <c r="O46" s="659"/>
      <c r="P46" s="659"/>
      <c r="Q46" s="429"/>
      <c r="R46" s="202"/>
      <c r="T46" s="94"/>
    </row>
    <row r="47" spans="1:20" ht="19.95" customHeight="1" thickBot="1">
      <c r="A47" s="140">
        <v>17</v>
      </c>
      <c r="B47" s="733" t="s">
        <v>271</v>
      </c>
      <c r="C47" s="446"/>
      <c r="D47" s="149" t="s">
        <v>272</v>
      </c>
      <c r="E47" s="148"/>
      <c r="F47" s="241"/>
      <c r="G47" s="114" t="s">
        <v>255</v>
      </c>
      <c r="H47" s="115"/>
      <c r="J47" s="242"/>
      <c r="K47" s="242"/>
      <c r="L47" s="242"/>
      <c r="M47" s="242"/>
      <c r="N47" s="242"/>
      <c r="O47" s="242"/>
      <c r="P47" s="242"/>
      <c r="Q47" s="242"/>
      <c r="R47" s="202"/>
      <c r="T47" s="94"/>
    </row>
    <row r="48" spans="1:20" ht="19.95" customHeight="1">
      <c r="A48" s="140">
        <v>18</v>
      </c>
      <c r="B48" s="733" t="s">
        <v>273</v>
      </c>
      <c r="C48" s="446"/>
      <c r="D48" s="149" t="s">
        <v>274</v>
      </c>
      <c r="E48" s="148"/>
      <c r="F48" s="241"/>
      <c r="G48" s="114" t="s">
        <v>255</v>
      </c>
      <c r="H48" s="115"/>
      <c r="J48" s="595" t="s">
        <v>198</v>
      </c>
      <c r="K48" s="596"/>
      <c r="L48" s="597"/>
      <c r="M48" s="397" t="s">
        <v>275</v>
      </c>
      <c r="N48" s="605" t="s">
        <v>200</v>
      </c>
      <c r="O48" s="597"/>
      <c r="P48" s="605" t="s">
        <v>201</v>
      </c>
      <c r="Q48" s="606"/>
      <c r="R48" s="202"/>
      <c r="T48" s="94"/>
    </row>
    <row r="49" spans="1:20" ht="19.95" customHeight="1">
      <c r="A49" s="140">
        <v>19</v>
      </c>
      <c r="B49" s="733" t="s">
        <v>276</v>
      </c>
      <c r="C49" s="446"/>
      <c r="D49" s="149" t="s">
        <v>274</v>
      </c>
      <c r="E49" s="148"/>
      <c r="F49" s="241"/>
      <c r="G49" s="114" t="s">
        <v>255</v>
      </c>
      <c r="H49" s="115"/>
      <c r="J49" s="598"/>
      <c r="K49" s="599"/>
      <c r="L49" s="600"/>
      <c r="M49" s="876"/>
      <c r="N49" s="607"/>
      <c r="O49" s="600"/>
      <c r="P49" s="607"/>
      <c r="Q49" s="608"/>
      <c r="R49" s="202"/>
      <c r="T49" s="94"/>
    </row>
    <row r="50" spans="1:20" ht="19.95" customHeight="1">
      <c r="A50" s="140">
        <v>20</v>
      </c>
      <c r="B50" s="733" t="s">
        <v>277</v>
      </c>
      <c r="C50" s="446"/>
      <c r="D50" s="222" t="s">
        <v>278</v>
      </c>
      <c r="E50" s="148"/>
      <c r="F50" s="230"/>
      <c r="G50" s="114" t="s">
        <v>207</v>
      </c>
      <c r="H50" s="115"/>
      <c r="J50" s="609"/>
      <c r="K50" s="610"/>
      <c r="L50" s="611"/>
      <c r="M50" s="667"/>
      <c r="N50" s="614"/>
      <c r="O50" s="611"/>
      <c r="P50" s="614"/>
      <c r="Q50" s="693"/>
      <c r="R50" s="202"/>
      <c r="T50" s="94"/>
    </row>
    <row r="51" spans="1:20" ht="19.95" customHeight="1">
      <c r="A51" s="140">
        <v>21</v>
      </c>
      <c r="B51" s="733" t="s">
        <v>279</v>
      </c>
      <c r="C51" s="446"/>
      <c r="D51" s="243" t="s">
        <v>280</v>
      </c>
      <c r="E51" s="148"/>
      <c r="F51" s="230"/>
      <c r="G51" s="114" t="s">
        <v>281</v>
      </c>
      <c r="H51" s="115"/>
      <c r="J51" s="598"/>
      <c r="K51" s="599"/>
      <c r="L51" s="600"/>
      <c r="M51" s="876"/>
      <c r="N51" s="607"/>
      <c r="O51" s="600"/>
      <c r="P51" s="607"/>
      <c r="Q51" s="608"/>
      <c r="R51" s="202"/>
      <c r="T51" s="94"/>
    </row>
    <row r="52" spans="1:20" ht="19.95" customHeight="1">
      <c r="A52" s="140">
        <v>22</v>
      </c>
      <c r="B52" s="733" t="s">
        <v>282</v>
      </c>
      <c r="C52" s="446"/>
      <c r="D52" s="222">
        <v>1060</v>
      </c>
      <c r="E52" s="148"/>
      <c r="F52" s="230"/>
      <c r="G52" s="114" t="s">
        <v>140</v>
      </c>
      <c r="H52" s="115"/>
      <c r="J52" s="609"/>
      <c r="K52" s="610"/>
      <c r="L52" s="611"/>
      <c r="M52" s="667"/>
      <c r="N52" s="614"/>
      <c r="O52" s="611"/>
      <c r="P52" s="614"/>
      <c r="Q52" s="693"/>
      <c r="R52" s="202"/>
      <c r="T52" s="94"/>
    </row>
    <row r="53" spans="1:20" ht="19.95" customHeight="1">
      <c r="A53" s="140">
        <v>23</v>
      </c>
      <c r="B53" s="733" t="s">
        <v>283</v>
      </c>
      <c r="C53" s="446"/>
      <c r="D53" s="149">
        <v>10</v>
      </c>
      <c r="E53" s="148"/>
      <c r="F53" s="230"/>
      <c r="G53" s="114" t="s">
        <v>140</v>
      </c>
      <c r="H53" s="115"/>
      <c r="J53" s="598"/>
      <c r="K53" s="599"/>
      <c r="L53" s="600"/>
      <c r="M53" s="876"/>
      <c r="N53" s="607"/>
      <c r="O53" s="600"/>
      <c r="P53" s="607"/>
      <c r="Q53" s="608"/>
      <c r="R53" s="202"/>
      <c r="T53" s="94"/>
    </row>
    <row r="54" spans="1:20" ht="19.95" customHeight="1">
      <c r="A54" s="140">
        <v>24</v>
      </c>
      <c r="B54" s="733" t="s">
        <v>284</v>
      </c>
      <c r="C54" s="446"/>
      <c r="D54" s="149">
        <v>0.6</v>
      </c>
      <c r="E54" s="148"/>
      <c r="F54" s="230"/>
      <c r="G54" s="114" t="s">
        <v>140</v>
      </c>
      <c r="H54" s="115"/>
      <c r="J54" s="609"/>
      <c r="K54" s="610"/>
      <c r="L54" s="611"/>
      <c r="M54" s="667"/>
      <c r="N54" s="614"/>
      <c r="O54" s="611"/>
      <c r="P54" s="614"/>
      <c r="Q54" s="693"/>
      <c r="R54" s="202"/>
      <c r="T54" s="94"/>
    </row>
    <row r="55" spans="1:20" ht="19.95" customHeight="1" thickBot="1">
      <c r="A55" s="140">
        <v>25</v>
      </c>
      <c r="B55" s="759" t="s">
        <v>285</v>
      </c>
      <c r="C55" s="447"/>
      <c r="D55" s="232">
        <v>5200</v>
      </c>
      <c r="E55" s="194"/>
      <c r="F55" s="219"/>
      <c r="G55" s="116" t="s">
        <v>18</v>
      </c>
      <c r="H55" s="164"/>
      <c r="J55" s="647"/>
      <c r="K55" s="895"/>
      <c r="L55" s="648"/>
      <c r="M55" s="896"/>
      <c r="N55" s="650"/>
      <c r="O55" s="648"/>
      <c r="P55" s="650"/>
      <c r="Q55" s="651"/>
      <c r="R55" s="202"/>
      <c r="T55" s="94"/>
    </row>
    <row r="56" spans="1:20" ht="18" customHeight="1">
      <c r="A56" s="348" t="s">
        <v>286</v>
      </c>
      <c r="B56" s="349"/>
      <c r="C56" s="349"/>
      <c r="D56" s="349"/>
      <c r="E56" s="349"/>
      <c r="F56" s="349"/>
      <c r="G56" s="349"/>
      <c r="H56" s="350"/>
      <c r="I56" s="107"/>
      <c r="J56" s="711" t="s">
        <v>367</v>
      </c>
      <c r="K56" s="712"/>
      <c r="L56" s="712"/>
      <c r="M56" s="877"/>
      <c r="N56" s="880" t="s">
        <v>368</v>
      </c>
      <c r="O56" s="712"/>
      <c r="P56" s="712"/>
      <c r="Q56" s="713"/>
      <c r="T56" s="94"/>
    </row>
    <row r="57" spans="1:20" ht="18" customHeight="1">
      <c r="A57" s="643" t="s">
        <v>174</v>
      </c>
      <c r="B57" s="644"/>
      <c r="C57" s="644"/>
      <c r="D57" s="644"/>
      <c r="E57" s="644" t="s">
        <v>223</v>
      </c>
      <c r="F57" s="644"/>
      <c r="G57" s="644"/>
      <c r="H57" s="645"/>
      <c r="J57" s="878"/>
      <c r="K57" s="622"/>
      <c r="L57" s="622"/>
      <c r="M57" s="879"/>
      <c r="N57" s="621"/>
      <c r="O57" s="622"/>
      <c r="P57" s="622"/>
      <c r="Q57" s="623"/>
      <c r="T57" s="94"/>
    </row>
    <row r="58" spans="1:20" ht="18" customHeight="1">
      <c r="A58" s="370"/>
      <c r="B58" s="371"/>
      <c r="C58" s="371"/>
      <c r="D58" s="371"/>
      <c r="E58" s="371"/>
      <c r="F58" s="371"/>
      <c r="G58" s="371"/>
      <c r="H58" s="646"/>
      <c r="J58" s="881"/>
      <c r="K58" s="617"/>
      <c r="L58" s="617"/>
      <c r="M58" s="882"/>
      <c r="N58" s="616"/>
      <c r="O58" s="617"/>
      <c r="P58" s="617"/>
      <c r="Q58" s="618"/>
      <c r="T58" s="94"/>
    </row>
    <row r="59" spans="1:20" ht="18" customHeight="1">
      <c r="A59" s="370"/>
      <c r="B59" s="371"/>
      <c r="C59" s="371"/>
      <c r="D59" s="371"/>
      <c r="E59" s="371"/>
      <c r="F59" s="371"/>
      <c r="G59" s="371"/>
      <c r="H59" s="646"/>
      <c r="J59" s="714"/>
      <c r="K59" s="581"/>
      <c r="L59" s="581"/>
      <c r="M59" s="883"/>
      <c r="N59" s="619"/>
      <c r="O59" s="581"/>
      <c r="P59" s="581"/>
      <c r="Q59" s="620"/>
      <c r="T59" s="94"/>
    </row>
    <row r="60" spans="1:20" ht="18" customHeight="1">
      <c r="A60" s="405"/>
      <c r="B60" s="439"/>
      <c r="C60" s="439"/>
      <c r="D60" s="439"/>
      <c r="E60" s="439"/>
      <c r="F60" s="439"/>
      <c r="G60" s="439"/>
      <c r="H60" s="658"/>
      <c r="J60" s="715"/>
      <c r="K60" s="716"/>
      <c r="L60" s="716"/>
      <c r="M60" s="884"/>
      <c r="N60" s="885"/>
      <c r="O60" s="716"/>
      <c r="P60" s="716"/>
      <c r="Q60" s="717"/>
      <c r="T60" s="94"/>
    </row>
    <row r="61" spans="1:20">
      <c r="T61" s="94"/>
    </row>
    <row r="62" spans="1:20">
      <c r="T62" s="94"/>
    </row>
    <row r="63" spans="1:20">
      <c r="D63" s="402"/>
      <c r="E63" s="402"/>
      <c r="F63" s="402"/>
      <c r="G63" s="402"/>
      <c r="T63" s="94"/>
    </row>
    <row r="64" spans="1:20">
      <c r="B64" s="338"/>
      <c r="C64" s="338"/>
      <c r="D64" s="624"/>
      <c r="E64" s="624"/>
      <c r="F64" s="624"/>
      <c r="G64" s="624"/>
      <c r="T64" s="94"/>
    </row>
    <row r="65" spans="2:20">
      <c r="B65" s="338"/>
      <c r="C65" s="338"/>
      <c r="D65" s="624"/>
      <c r="E65" s="624"/>
      <c r="F65" s="625"/>
      <c r="G65" s="625"/>
      <c r="T65" s="94"/>
    </row>
    <row r="66" spans="2:20">
      <c r="B66" s="338"/>
      <c r="C66" s="338"/>
      <c r="D66" s="624"/>
      <c r="E66" s="624"/>
      <c r="F66" s="626"/>
      <c r="G66" s="626"/>
      <c r="T66" s="94"/>
    </row>
    <row r="67" spans="2:20">
      <c r="B67" s="338"/>
      <c r="C67" s="338"/>
      <c r="D67" s="624"/>
      <c r="E67" s="624"/>
      <c r="F67" s="624"/>
      <c r="G67" s="624"/>
      <c r="T67" s="94"/>
    </row>
    <row r="68" spans="2:20">
      <c r="B68" s="338"/>
      <c r="C68" s="338"/>
      <c r="D68" s="624"/>
      <c r="E68" s="624"/>
      <c r="F68" s="624"/>
      <c r="G68" s="624"/>
      <c r="T68" s="94"/>
    </row>
    <row r="69" spans="2:20">
      <c r="B69" s="338"/>
      <c r="C69" s="338"/>
      <c r="D69" s="624"/>
      <c r="E69" s="624"/>
      <c r="F69" s="626"/>
      <c r="G69" s="626"/>
      <c r="T69" s="94"/>
    </row>
    <row r="70" spans="2:20">
      <c r="B70" s="338"/>
      <c r="C70" s="338"/>
      <c r="D70" s="624"/>
      <c r="E70" s="624"/>
      <c r="F70" s="626"/>
      <c r="G70" s="626"/>
      <c r="T70" s="94"/>
    </row>
    <row r="71" spans="2:20">
      <c r="B71" s="338"/>
      <c r="C71" s="338"/>
      <c r="D71" s="624"/>
      <c r="E71" s="624"/>
      <c r="F71" s="626"/>
      <c r="G71" s="626"/>
    </row>
    <row r="72" spans="2:20">
      <c r="B72" s="338"/>
      <c r="C72" s="338"/>
      <c r="D72" s="624"/>
      <c r="E72" s="624"/>
      <c r="F72" s="632"/>
      <c r="G72" s="632"/>
    </row>
  </sheetData>
  <mergeCells count="179">
    <mergeCell ref="P54:Q55"/>
    <mergeCell ref="J52:L53"/>
    <mergeCell ref="J54:L55"/>
    <mergeCell ref="M52:M53"/>
    <mergeCell ref="M54:M55"/>
    <mergeCell ref="M48:M49"/>
    <mergeCell ref="B52:C52"/>
    <mergeCell ref="B53:C53"/>
    <mergeCell ref="B54:C54"/>
    <mergeCell ref="B55:C55"/>
    <mergeCell ref="N36:N38"/>
    <mergeCell ref="O36:O38"/>
    <mergeCell ref="P29:P30"/>
    <mergeCell ref="P36:P38"/>
    <mergeCell ref="Q29:Q30"/>
    <mergeCell ref="Q36:Q38"/>
    <mergeCell ref="A1:B3"/>
    <mergeCell ref="C1:M3"/>
    <mergeCell ref="J23:M24"/>
    <mergeCell ref="N23:Q24"/>
    <mergeCell ref="B29:C30"/>
    <mergeCell ref="K29:L30"/>
    <mergeCell ref="K36:L38"/>
    <mergeCell ref="A17:B18"/>
    <mergeCell ref="J17:M19"/>
    <mergeCell ref="N17:Q19"/>
    <mergeCell ref="A29:A30"/>
    <mergeCell ref="D29:D30"/>
    <mergeCell ref="G29:G30"/>
    <mergeCell ref="H29:H30"/>
    <mergeCell ref="J29:J30"/>
    <mergeCell ref="J36:J38"/>
    <mergeCell ref="M29:M30"/>
    <mergeCell ref="M36:M38"/>
    <mergeCell ref="B70:C70"/>
    <mergeCell ref="D70:E70"/>
    <mergeCell ref="F70:G70"/>
    <mergeCell ref="B71:C71"/>
    <mergeCell ref="D71:E71"/>
    <mergeCell ref="F71:G71"/>
    <mergeCell ref="B72:C72"/>
    <mergeCell ref="D72:E72"/>
    <mergeCell ref="F72:G72"/>
    <mergeCell ref="B67:C67"/>
    <mergeCell ref="D67:E67"/>
    <mergeCell ref="F67:G67"/>
    <mergeCell ref="B68:C68"/>
    <mergeCell ref="D68:E68"/>
    <mergeCell ref="F68:G68"/>
    <mergeCell ref="B69:C69"/>
    <mergeCell ref="D69:E69"/>
    <mergeCell ref="F69:G69"/>
    <mergeCell ref="B64:C64"/>
    <mergeCell ref="D64:E64"/>
    <mergeCell ref="F64:G64"/>
    <mergeCell ref="B65:C65"/>
    <mergeCell ref="D65:E65"/>
    <mergeCell ref="F65:G65"/>
    <mergeCell ref="B66:C66"/>
    <mergeCell ref="D66:E66"/>
    <mergeCell ref="F66:G66"/>
    <mergeCell ref="A56:H56"/>
    <mergeCell ref="A57:D57"/>
    <mergeCell ref="E57:H57"/>
    <mergeCell ref="D63:E63"/>
    <mergeCell ref="F63:G63"/>
    <mergeCell ref="B46:C46"/>
    <mergeCell ref="K46:M46"/>
    <mergeCell ref="N46:O46"/>
    <mergeCell ref="J56:M57"/>
    <mergeCell ref="N56:Q57"/>
    <mergeCell ref="A58:D60"/>
    <mergeCell ref="E58:H60"/>
    <mergeCell ref="J58:M60"/>
    <mergeCell ref="N58:Q60"/>
    <mergeCell ref="J48:L49"/>
    <mergeCell ref="N48:O49"/>
    <mergeCell ref="P48:Q49"/>
    <mergeCell ref="J50:L51"/>
    <mergeCell ref="N50:O51"/>
    <mergeCell ref="P50:Q51"/>
    <mergeCell ref="N52:O53"/>
    <mergeCell ref="P52:Q53"/>
    <mergeCell ref="N54:O55"/>
    <mergeCell ref="P46:Q46"/>
    <mergeCell ref="B47:C47"/>
    <mergeCell ref="B48:C48"/>
    <mergeCell ref="B49:C49"/>
    <mergeCell ref="B50:C50"/>
    <mergeCell ref="B51:C51"/>
    <mergeCell ref="M50:M51"/>
    <mergeCell ref="B42:C42"/>
    <mergeCell ref="K42:M42"/>
    <mergeCell ref="N42:O42"/>
    <mergeCell ref="B43:C43"/>
    <mergeCell ref="N43:O43"/>
    <mergeCell ref="K43:M43"/>
    <mergeCell ref="P42:Q42"/>
    <mergeCell ref="B44:C44"/>
    <mergeCell ref="K44:M44"/>
    <mergeCell ref="N44:O44"/>
    <mergeCell ref="P44:Q44"/>
    <mergeCell ref="B45:C45"/>
    <mergeCell ref="K45:M45"/>
    <mergeCell ref="N45:O45"/>
    <mergeCell ref="P45:Q45"/>
    <mergeCell ref="P43:Q43"/>
    <mergeCell ref="B39:C39"/>
    <mergeCell ref="B40:C40"/>
    <mergeCell ref="K40:M40"/>
    <mergeCell ref="N40:O40"/>
    <mergeCell ref="P40:Q40"/>
    <mergeCell ref="B41:C41"/>
    <mergeCell ref="K41:M41"/>
    <mergeCell ref="N41:O41"/>
    <mergeCell ref="P41:Q41"/>
    <mergeCell ref="B33:C33"/>
    <mergeCell ref="K33:L33"/>
    <mergeCell ref="B34:C34"/>
    <mergeCell ref="K34:L34"/>
    <mergeCell ref="B35:C35"/>
    <mergeCell ref="K35:L35"/>
    <mergeCell ref="B36:C36"/>
    <mergeCell ref="B37:C37"/>
    <mergeCell ref="B38:C38"/>
    <mergeCell ref="C23:D23"/>
    <mergeCell ref="C24:D24"/>
    <mergeCell ref="D28:E28"/>
    <mergeCell ref="G28:H28"/>
    <mergeCell ref="E29:F29"/>
    <mergeCell ref="N29:O29"/>
    <mergeCell ref="B31:C31"/>
    <mergeCell ref="K31:L31"/>
    <mergeCell ref="B32:C32"/>
    <mergeCell ref="K32:L32"/>
    <mergeCell ref="J25:Q25"/>
    <mergeCell ref="J26:M26"/>
    <mergeCell ref="N26:Q26"/>
    <mergeCell ref="J27:M28"/>
    <mergeCell ref="N27:Q28"/>
    <mergeCell ref="C17:H17"/>
    <mergeCell ref="C18:H18"/>
    <mergeCell ref="C19:E19"/>
    <mergeCell ref="F19:H19"/>
    <mergeCell ref="C20:D20"/>
    <mergeCell ref="C21:D21"/>
    <mergeCell ref="J21:Q21"/>
    <mergeCell ref="C22:D22"/>
    <mergeCell ref="J22:M22"/>
    <mergeCell ref="N22:Q22"/>
    <mergeCell ref="A13:B13"/>
    <mergeCell ref="C13:J13"/>
    <mergeCell ref="K13:Q13"/>
    <mergeCell ref="A15:H15"/>
    <mergeCell ref="J15:Q15"/>
    <mergeCell ref="C16:E16"/>
    <mergeCell ref="F16:H16"/>
    <mergeCell ref="J16:M16"/>
    <mergeCell ref="N16:Q16"/>
    <mergeCell ref="A8:B8"/>
    <mergeCell ref="C8:H8"/>
    <mergeCell ref="A10:B10"/>
    <mergeCell ref="C10:J10"/>
    <mergeCell ref="K10:Q10"/>
    <mergeCell ref="A11:B11"/>
    <mergeCell ref="C11:J11"/>
    <mergeCell ref="K11:Q11"/>
    <mergeCell ref="A12:B12"/>
    <mergeCell ref="C12:J12"/>
    <mergeCell ref="K12:Q12"/>
    <mergeCell ref="N1:Q1"/>
    <mergeCell ref="N2:Q2"/>
    <mergeCell ref="N3:Q3"/>
    <mergeCell ref="A5:B5"/>
    <mergeCell ref="C5:H5"/>
    <mergeCell ref="A6:B6"/>
    <mergeCell ref="C6:H6"/>
    <mergeCell ref="A7:B7"/>
    <mergeCell ref="C7:H7"/>
  </mergeCells>
  <conditionalFormatting sqref="C23:C27">
    <cfRule type="duplicateValues" dxfId="47" priority="7" stopIfTrue="1"/>
    <cfRule type="duplicateValues" dxfId="46" priority="8" stopIfTrue="1"/>
    <cfRule type="duplicateValues" dxfId="45" priority="9" stopIfTrue="1"/>
    <cfRule type="duplicateValues" dxfId="44" priority="10" stopIfTrue="1"/>
    <cfRule type="duplicateValues" dxfId="43" priority="11" stopIfTrue="1"/>
    <cfRule type="duplicateValues" dxfId="42" priority="12" stopIfTrue="1"/>
  </conditionalFormatting>
  <conditionalFormatting sqref="C28">
    <cfRule type="duplicateValues" dxfId="41" priority="1" stopIfTrue="1"/>
    <cfRule type="duplicateValues" dxfId="40" priority="2" stopIfTrue="1"/>
    <cfRule type="duplicateValues" dxfId="39" priority="3" stopIfTrue="1"/>
    <cfRule type="duplicateValues" dxfId="38" priority="4" stopIfTrue="1"/>
    <cfRule type="duplicateValues" dxfId="37" priority="5" stopIfTrue="1"/>
    <cfRule type="duplicateValues" dxfId="36" priority="6" stopIfTrue="1"/>
  </conditionalFormatting>
  <printOptions horizontalCentered="1"/>
  <pageMargins left="0.23622047244094499" right="0.23622047244094499" top="0.74803149606299202" bottom="0.74803149606299202" header="0.31496062992126" footer="0.31496062992126"/>
  <pageSetup paperSize="9" scale="61" orientation="portrait" horizontalDpi="300" verticalDpi="30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B0F0"/>
    <pageSetUpPr fitToPage="1"/>
  </sheetPr>
  <dimension ref="A1:X76"/>
  <sheetViews>
    <sheetView showGridLines="0" view="pageBreakPreview" topLeftCell="A19" zoomScale="85" zoomScaleNormal="100" zoomScaleSheetLayoutView="85" zoomScalePageLayoutView="85" workbookViewId="0">
      <selection activeCell="D34" sqref="D34"/>
    </sheetView>
  </sheetViews>
  <sheetFormatPr defaultColWidth="8.88671875" defaultRowHeight="13.8"/>
  <cols>
    <col min="1" max="1" width="4" style="91" customWidth="1"/>
    <col min="2" max="2" width="19" style="91" customWidth="1"/>
    <col min="3" max="3" width="6" style="91" customWidth="1"/>
    <col min="4" max="4" width="24.33203125" style="91" customWidth="1"/>
    <col min="5" max="6" width="10.44140625" style="91" customWidth="1"/>
    <col min="7" max="8" width="10.33203125" style="91" customWidth="1"/>
    <col min="9" max="9" width="1.77734375" style="91" customWidth="1"/>
    <col min="10" max="10" width="10.109375" style="91" customWidth="1"/>
    <col min="11" max="11" width="11.109375" style="91" customWidth="1"/>
    <col min="12" max="12" width="9.88671875" style="91" customWidth="1"/>
    <col min="13" max="13" width="22.33203125" style="91" customWidth="1"/>
    <col min="14" max="14" width="8.88671875" style="91"/>
    <col min="15" max="15" width="9.88671875" style="91" customWidth="1"/>
    <col min="16" max="16" width="50.6640625" style="91" customWidth="1"/>
    <col min="17" max="17" width="35.5546875" style="91" customWidth="1"/>
    <col min="18" max="16384" width="8.88671875" style="91"/>
  </cols>
  <sheetData>
    <row r="1" spans="1:24" ht="19.05" customHeight="1">
      <c r="A1" s="705"/>
      <c r="B1" s="706"/>
      <c r="C1" s="711" t="s">
        <v>178</v>
      </c>
      <c r="D1" s="712"/>
      <c r="E1" s="712"/>
      <c r="F1" s="712"/>
      <c r="G1" s="712"/>
      <c r="H1" s="712"/>
      <c r="I1" s="712"/>
      <c r="J1" s="713"/>
      <c r="K1" s="342" t="s">
        <v>179</v>
      </c>
      <c r="L1" s="343"/>
      <c r="M1" s="344"/>
    </row>
    <row r="2" spans="1:24" ht="19.05" customHeight="1">
      <c r="A2" s="707"/>
      <c r="B2" s="708"/>
      <c r="C2" s="714"/>
      <c r="D2" s="581"/>
      <c r="E2" s="581"/>
      <c r="F2" s="581"/>
      <c r="G2" s="581"/>
      <c r="H2" s="581"/>
      <c r="I2" s="581"/>
      <c r="J2" s="620"/>
      <c r="K2" s="374" t="s">
        <v>114</v>
      </c>
      <c r="L2" s="375"/>
      <c r="M2" s="376"/>
    </row>
    <row r="3" spans="1:24" ht="19.05" customHeight="1">
      <c r="A3" s="709"/>
      <c r="B3" s="710"/>
      <c r="C3" s="715"/>
      <c r="D3" s="716"/>
      <c r="E3" s="716"/>
      <c r="F3" s="716"/>
      <c r="G3" s="716"/>
      <c r="H3" s="716"/>
      <c r="I3" s="716"/>
      <c r="J3" s="717"/>
      <c r="K3" s="381" t="s">
        <v>165</v>
      </c>
      <c r="L3" s="382"/>
      <c r="M3" s="383"/>
    </row>
    <row r="4" spans="1:24" ht="15" customHeight="1">
      <c r="A4" s="107"/>
      <c r="C4" s="178"/>
    </row>
    <row r="5" spans="1:24" ht="15" customHeight="1">
      <c r="A5" s="576" t="s">
        <v>116</v>
      </c>
      <c r="B5" s="576"/>
      <c r="C5" s="575"/>
      <c r="D5" s="575"/>
      <c r="E5" s="575"/>
      <c r="F5" s="575"/>
      <c r="G5" s="575"/>
      <c r="H5" s="575"/>
      <c r="I5" s="92" t="s">
        <v>3</v>
      </c>
      <c r="J5" s="92"/>
      <c r="K5" s="179" t="str">
        <f>'In 2'!K5</f>
        <v>SX2607045</v>
      </c>
      <c r="U5" s="91" t="s">
        <v>180</v>
      </c>
      <c r="V5" s="91" t="s">
        <v>181</v>
      </c>
      <c r="W5" s="91" t="s">
        <v>182</v>
      </c>
      <c r="X5" s="91" t="s">
        <v>183</v>
      </c>
    </row>
    <row r="6" spans="1:24" ht="15" customHeight="1">
      <c r="A6" s="577" t="s">
        <v>117</v>
      </c>
      <c r="B6" s="577"/>
      <c r="C6" s="338"/>
      <c r="D6" s="338"/>
      <c r="E6" s="338"/>
      <c r="F6" s="338"/>
      <c r="G6" s="338"/>
      <c r="H6" s="338"/>
      <c r="I6" s="92" t="s">
        <v>184</v>
      </c>
      <c r="J6" s="92"/>
      <c r="K6" s="94" t="s">
        <v>169</v>
      </c>
    </row>
    <row r="7" spans="1:24" ht="15" customHeight="1">
      <c r="A7" s="577" t="s">
        <v>120</v>
      </c>
      <c r="B7" s="577"/>
      <c r="C7" s="338"/>
      <c r="D7" s="338"/>
      <c r="E7" s="338"/>
      <c r="F7" s="338"/>
      <c r="G7" s="338"/>
      <c r="H7" s="338"/>
      <c r="I7" s="180" t="s">
        <v>121</v>
      </c>
      <c r="J7" s="180"/>
      <c r="K7" s="181" t="s">
        <v>387</v>
      </c>
    </row>
    <row r="8" spans="1:24" ht="31.8" customHeight="1">
      <c r="A8" s="577" t="s">
        <v>123</v>
      </c>
      <c r="B8" s="577"/>
      <c r="C8" s="575"/>
      <c r="D8" s="575"/>
      <c r="E8" s="575"/>
      <c r="F8" s="575"/>
      <c r="G8" s="575"/>
      <c r="H8" s="575"/>
      <c r="I8" s="180" t="s">
        <v>124</v>
      </c>
      <c r="J8" s="180"/>
      <c r="K8" s="181" t="s">
        <v>387</v>
      </c>
    </row>
    <row r="9" spans="1:24" ht="15" customHeight="1">
      <c r="A9" s="94"/>
      <c r="B9" s="94"/>
      <c r="C9" s="94"/>
      <c r="D9" s="94"/>
      <c r="E9" s="94"/>
      <c r="I9" s="94"/>
      <c r="K9" s="94"/>
    </row>
    <row r="10" spans="1:24" ht="19.05" customHeight="1">
      <c r="A10" s="345"/>
      <c r="B10" s="346"/>
      <c r="C10" s="349" t="s">
        <v>125</v>
      </c>
      <c r="D10" s="349"/>
      <c r="E10" s="349"/>
      <c r="F10" s="349"/>
      <c r="G10" s="349"/>
      <c r="H10" s="349" t="s">
        <v>126</v>
      </c>
      <c r="I10" s="349"/>
      <c r="J10" s="349"/>
      <c r="K10" s="349"/>
      <c r="L10" s="349"/>
      <c r="M10" s="350"/>
    </row>
    <row r="11" spans="1:24" ht="19.05" customHeight="1">
      <c r="A11" s="440" t="s">
        <v>127</v>
      </c>
      <c r="B11" s="441"/>
      <c r="C11" s="371" t="s">
        <v>358</v>
      </c>
      <c r="D11" s="371"/>
      <c r="E11" s="371"/>
      <c r="F11" s="371"/>
      <c r="G11" s="371"/>
      <c r="H11" s="371" t="s">
        <v>358</v>
      </c>
      <c r="I11" s="371"/>
      <c r="J11" s="371"/>
      <c r="K11" s="371"/>
      <c r="L11" s="371"/>
      <c r="M11" s="646"/>
    </row>
    <row r="12" spans="1:24" ht="19.05" customHeight="1">
      <c r="A12" s="440" t="s">
        <v>129</v>
      </c>
      <c r="B12" s="441"/>
      <c r="C12" s="371" t="s">
        <v>130</v>
      </c>
      <c r="D12" s="371"/>
      <c r="E12" s="371"/>
      <c r="F12" s="371"/>
      <c r="G12" s="371"/>
      <c r="H12" s="371" t="s">
        <v>357</v>
      </c>
      <c r="I12" s="371"/>
      <c r="J12" s="371"/>
      <c r="K12" s="371"/>
      <c r="L12" s="371"/>
      <c r="M12" s="646"/>
    </row>
    <row r="13" spans="1:24" ht="19.05" customHeight="1">
      <c r="A13" s="448" t="s">
        <v>132</v>
      </c>
      <c r="B13" s="449"/>
      <c r="C13" s="659"/>
      <c r="D13" s="659"/>
      <c r="E13" s="659"/>
      <c r="F13" s="659"/>
      <c r="G13" s="659"/>
      <c r="H13" s="659"/>
      <c r="I13" s="659"/>
      <c r="J13" s="659"/>
      <c r="K13" s="659"/>
      <c r="L13" s="659"/>
      <c r="M13" s="429"/>
    </row>
    <row r="15" spans="1:24" ht="24" customHeight="1">
      <c r="A15" s="660" t="s">
        <v>171</v>
      </c>
      <c r="B15" s="330"/>
      <c r="C15" s="330"/>
      <c r="D15" s="330"/>
      <c r="E15" s="330"/>
      <c r="F15" s="330"/>
      <c r="G15" s="330"/>
      <c r="H15" s="331"/>
      <c r="J15" s="348" t="s">
        <v>185</v>
      </c>
      <c r="K15" s="349"/>
      <c r="L15" s="349"/>
      <c r="M15" s="350"/>
    </row>
    <row r="16" spans="1:24" ht="18" customHeight="1">
      <c r="A16" s="652" t="s">
        <v>242</v>
      </c>
      <c r="B16" s="653"/>
      <c r="C16" s="653"/>
      <c r="D16" s="897"/>
      <c r="E16" s="898"/>
      <c r="F16" s="333" t="s">
        <v>51</v>
      </c>
      <c r="G16" s="333"/>
      <c r="H16" s="334"/>
      <c r="J16" s="643" t="s">
        <v>137</v>
      </c>
      <c r="K16" s="644"/>
      <c r="L16" s="644" t="s">
        <v>138</v>
      </c>
      <c r="M16" s="645"/>
    </row>
    <row r="17" spans="1:14" ht="18" customHeight="1">
      <c r="A17" s="183" t="s">
        <v>32</v>
      </c>
      <c r="B17" s="355" t="s">
        <v>33</v>
      </c>
      <c r="C17" s="355"/>
      <c r="D17" s="209" t="s">
        <v>34</v>
      </c>
      <c r="E17" s="184" t="s">
        <v>188</v>
      </c>
      <c r="F17" s="185" t="s">
        <v>6</v>
      </c>
      <c r="G17" s="185" t="s">
        <v>189</v>
      </c>
      <c r="H17" s="186" t="s">
        <v>190</v>
      </c>
      <c r="J17" s="435"/>
      <c r="K17" s="436"/>
      <c r="M17" s="187"/>
    </row>
    <row r="18" spans="1:14" ht="18" customHeight="1">
      <c r="A18" s="140">
        <v>1</v>
      </c>
      <c r="B18" s="333"/>
      <c r="C18" s="333"/>
      <c r="D18" s="210"/>
      <c r="E18" s="188"/>
      <c r="F18" s="189"/>
      <c r="G18" s="189"/>
      <c r="H18" s="186"/>
      <c r="J18" s="672"/>
      <c r="K18" s="673"/>
      <c r="L18" s="191"/>
      <c r="M18" s="192"/>
    </row>
    <row r="19" spans="1:14" ht="18" customHeight="1">
      <c r="A19" s="140">
        <v>2</v>
      </c>
      <c r="B19" s="333"/>
      <c r="C19" s="333"/>
      <c r="D19" s="210"/>
      <c r="E19" s="188"/>
      <c r="F19" s="189"/>
      <c r="G19" s="189"/>
      <c r="H19" s="190"/>
    </row>
    <row r="20" spans="1:14" ht="18" customHeight="1">
      <c r="A20" s="140">
        <v>3</v>
      </c>
      <c r="B20" s="441"/>
      <c r="C20" s="441"/>
      <c r="D20" s="210"/>
      <c r="E20" s="188"/>
      <c r="F20" s="114"/>
      <c r="G20" s="189"/>
      <c r="H20" s="190"/>
      <c r="J20" s="348" t="s">
        <v>192</v>
      </c>
      <c r="K20" s="349"/>
      <c r="L20" s="349"/>
      <c r="M20" s="350"/>
    </row>
    <row r="21" spans="1:14" ht="23.4" customHeight="1">
      <c r="A21" s="140">
        <v>4</v>
      </c>
      <c r="B21" s="639"/>
      <c r="C21" s="639"/>
      <c r="D21" s="104"/>
      <c r="E21" s="188"/>
      <c r="F21" s="193"/>
      <c r="G21" s="189"/>
      <c r="H21" s="115"/>
      <c r="J21" s="643" t="s">
        <v>137</v>
      </c>
      <c r="K21" s="644"/>
      <c r="L21" s="644" t="s">
        <v>138</v>
      </c>
      <c r="M21" s="645"/>
    </row>
    <row r="22" spans="1:14" ht="18" customHeight="1">
      <c r="A22" s="140">
        <v>5</v>
      </c>
      <c r="B22" s="639"/>
      <c r="C22" s="639"/>
      <c r="D22" s="104"/>
      <c r="E22" s="188"/>
      <c r="F22" s="193"/>
      <c r="G22" s="189"/>
      <c r="H22" s="115"/>
      <c r="J22" s="435"/>
      <c r="K22" s="436"/>
      <c r="M22" s="187"/>
    </row>
    <row r="23" spans="1:14" ht="18" customHeight="1" thickBot="1">
      <c r="A23" s="165">
        <v>6</v>
      </c>
      <c r="B23" s="641"/>
      <c r="C23" s="641"/>
      <c r="D23" s="105"/>
      <c r="E23" s="195"/>
      <c r="F23" s="196"/>
      <c r="G23" s="105"/>
      <c r="H23" s="117"/>
      <c r="J23" s="672"/>
      <c r="K23" s="673"/>
      <c r="L23" s="191"/>
      <c r="M23" s="192"/>
    </row>
    <row r="24" spans="1:14" ht="18" customHeight="1">
      <c r="A24" s="107"/>
      <c r="B24" s="110"/>
      <c r="C24" s="110"/>
      <c r="E24" s="118"/>
      <c r="F24" s="197"/>
      <c r="J24" s="348" t="s">
        <v>369</v>
      </c>
      <c r="K24" s="349"/>
      <c r="L24" s="349"/>
      <c r="M24" s="350"/>
    </row>
    <row r="25" spans="1:14" ht="18" customHeight="1">
      <c r="A25" s="107"/>
      <c r="B25" s="110"/>
      <c r="C25" s="110"/>
      <c r="E25" s="118"/>
      <c r="F25" s="197"/>
      <c r="J25" s="643" t="s">
        <v>137</v>
      </c>
      <c r="K25" s="644"/>
      <c r="L25" s="644" t="s">
        <v>138</v>
      </c>
      <c r="M25" s="645"/>
    </row>
    <row r="26" spans="1:14" ht="18" customHeight="1">
      <c r="A26" s="107"/>
      <c r="B26" s="110"/>
      <c r="C26" s="110"/>
      <c r="E26" s="118"/>
      <c r="F26" s="197"/>
      <c r="J26" s="435"/>
      <c r="K26" s="436"/>
      <c r="M26" s="187"/>
    </row>
    <row r="27" spans="1:14" ht="18" customHeight="1" thickBot="1">
      <c r="B27" s="111"/>
      <c r="C27" s="94"/>
      <c r="D27" s="339"/>
      <c r="E27" s="339"/>
      <c r="F27" s="197"/>
      <c r="G27" s="402"/>
      <c r="H27" s="402"/>
      <c r="J27" s="672"/>
      <c r="K27" s="673"/>
      <c r="L27" s="191"/>
      <c r="M27" s="192"/>
    </row>
    <row r="28" spans="1:14" ht="18" customHeight="1">
      <c r="A28" s="348" t="s">
        <v>32</v>
      </c>
      <c r="B28" s="349" t="s">
        <v>195</v>
      </c>
      <c r="C28" s="349"/>
      <c r="D28" s="352" t="s">
        <v>196</v>
      </c>
      <c r="E28" s="601" t="s">
        <v>197</v>
      </c>
      <c r="F28" s="601"/>
      <c r="G28" s="349" t="s">
        <v>35</v>
      </c>
      <c r="H28" s="350" t="s">
        <v>138</v>
      </c>
      <c r="J28" s="198" t="s">
        <v>32</v>
      </c>
      <c r="K28" s="103" t="s">
        <v>147</v>
      </c>
      <c r="L28" s="199" t="s">
        <v>193</v>
      </c>
      <c r="M28" s="200" t="s">
        <v>194</v>
      </c>
      <c r="N28" s="201"/>
    </row>
    <row r="29" spans="1:14" ht="18" customHeight="1">
      <c r="A29" s="643"/>
      <c r="B29" s="644"/>
      <c r="C29" s="644"/>
      <c r="D29" s="355"/>
      <c r="E29" s="184" t="s">
        <v>202</v>
      </c>
      <c r="F29" s="184" t="s">
        <v>202</v>
      </c>
      <c r="G29" s="644"/>
      <c r="H29" s="645"/>
      <c r="J29" s="140">
        <v>1</v>
      </c>
      <c r="K29" s="114"/>
      <c r="L29" s="114"/>
      <c r="M29" s="115"/>
      <c r="N29" s="201"/>
    </row>
    <row r="30" spans="1:14" ht="19.95" customHeight="1">
      <c r="A30" s="140">
        <v>1</v>
      </c>
      <c r="B30" s="733" t="s">
        <v>243</v>
      </c>
      <c r="C30" s="446"/>
      <c r="D30" s="222" t="s">
        <v>378</v>
      </c>
      <c r="E30" s="148"/>
      <c r="F30" s="230"/>
      <c r="G30" s="114" t="s">
        <v>371</v>
      </c>
      <c r="H30" s="115"/>
      <c r="J30" s="140">
        <v>2</v>
      </c>
      <c r="K30" s="114"/>
      <c r="L30" s="114"/>
      <c r="M30" s="115"/>
      <c r="N30" s="202"/>
    </row>
    <row r="31" spans="1:14" ht="19.95" customHeight="1">
      <c r="A31" s="140">
        <v>2</v>
      </c>
      <c r="B31" s="733" t="s">
        <v>287</v>
      </c>
      <c r="C31" s="446"/>
      <c r="D31" s="222" t="s">
        <v>327</v>
      </c>
      <c r="E31" s="148"/>
      <c r="F31" s="230"/>
      <c r="G31" s="114" t="s">
        <v>207</v>
      </c>
      <c r="H31" s="115"/>
      <c r="J31" s="140">
        <v>3</v>
      </c>
      <c r="K31" s="114"/>
      <c r="L31" s="114"/>
      <c r="M31" s="115"/>
      <c r="N31" s="202"/>
    </row>
    <row r="32" spans="1:14" ht="19.95" customHeight="1">
      <c r="A32" s="140">
        <v>3</v>
      </c>
      <c r="B32" s="733" t="s">
        <v>289</v>
      </c>
      <c r="C32" s="446"/>
      <c r="D32" s="222" t="s">
        <v>379</v>
      </c>
      <c r="E32" s="148"/>
      <c r="F32" s="230"/>
      <c r="G32" s="114" t="s">
        <v>140</v>
      </c>
      <c r="H32" s="115"/>
      <c r="J32" s="140">
        <v>4</v>
      </c>
      <c r="K32" s="114"/>
      <c r="L32" s="114"/>
      <c r="M32" s="115"/>
      <c r="N32" s="202"/>
    </row>
    <row r="33" spans="1:20" ht="19.95" customHeight="1">
      <c r="A33" s="140">
        <v>4</v>
      </c>
      <c r="B33" s="733" t="s">
        <v>290</v>
      </c>
      <c r="C33" s="446"/>
      <c r="D33" s="222" t="s">
        <v>234</v>
      </c>
      <c r="E33" s="148"/>
      <c r="F33" s="231"/>
      <c r="G33" s="114" t="s">
        <v>250</v>
      </c>
      <c r="H33" s="115"/>
      <c r="J33" s="165">
        <v>5</v>
      </c>
      <c r="K33" s="116"/>
      <c r="L33" s="116"/>
      <c r="M33" s="164"/>
      <c r="N33" s="202"/>
    </row>
    <row r="34" spans="1:20" ht="19.95" customHeight="1">
      <c r="A34" s="140">
        <v>5</v>
      </c>
      <c r="B34" s="733" t="s">
        <v>291</v>
      </c>
      <c r="C34" s="446"/>
      <c r="D34" s="222">
        <v>920</v>
      </c>
      <c r="E34" s="148"/>
      <c r="F34" s="231"/>
      <c r="G34" s="114" t="s">
        <v>140</v>
      </c>
      <c r="H34" s="115"/>
      <c r="J34" s="92"/>
      <c r="K34" s="112"/>
      <c r="L34" s="92"/>
      <c r="M34" s="92"/>
      <c r="N34" s="201"/>
    </row>
    <row r="35" spans="1:20" ht="19.95" customHeight="1">
      <c r="A35" s="140">
        <v>6</v>
      </c>
      <c r="B35" s="733" t="s">
        <v>292</v>
      </c>
      <c r="C35" s="446"/>
      <c r="D35" s="149">
        <v>7</v>
      </c>
      <c r="E35" s="148"/>
      <c r="F35" s="230"/>
      <c r="G35" s="114" t="s">
        <v>293</v>
      </c>
      <c r="H35" s="115"/>
      <c r="J35" s="348" t="s">
        <v>198</v>
      </c>
      <c r="K35" s="352" t="s">
        <v>199</v>
      </c>
      <c r="L35" s="349" t="s">
        <v>200</v>
      </c>
      <c r="M35" s="350" t="s">
        <v>201</v>
      </c>
      <c r="N35" s="202"/>
    </row>
    <row r="36" spans="1:20" ht="19.95" customHeight="1">
      <c r="A36" s="140">
        <v>7</v>
      </c>
      <c r="B36" s="733" t="s">
        <v>294</v>
      </c>
      <c r="C36" s="446"/>
      <c r="D36" s="222" t="s">
        <v>295</v>
      </c>
      <c r="E36" s="148"/>
      <c r="F36" s="230"/>
      <c r="G36" s="114" t="s">
        <v>140</v>
      </c>
      <c r="H36" s="115"/>
      <c r="J36" s="643"/>
      <c r="K36" s="355"/>
      <c r="L36" s="644"/>
      <c r="M36" s="645"/>
      <c r="N36" s="202"/>
    </row>
    <row r="37" spans="1:20" ht="19.95" customHeight="1">
      <c r="A37" s="140">
        <v>8</v>
      </c>
      <c r="B37" s="733" t="s">
        <v>296</v>
      </c>
      <c r="C37" s="446"/>
      <c r="D37" s="149" t="s">
        <v>297</v>
      </c>
      <c r="E37" s="148"/>
      <c r="F37" s="230"/>
      <c r="G37" s="114" t="s">
        <v>140</v>
      </c>
      <c r="H37" s="115"/>
      <c r="J37" s="370"/>
      <c r="K37" s="371"/>
      <c r="L37" s="371"/>
      <c r="M37" s="646"/>
      <c r="N37" s="202"/>
    </row>
    <row r="38" spans="1:20" ht="19.95" customHeight="1">
      <c r="A38" s="140">
        <v>9</v>
      </c>
      <c r="B38" s="733" t="s">
        <v>298</v>
      </c>
      <c r="C38" s="446"/>
      <c r="D38" s="149" t="s">
        <v>299</v>
      </c>
      <c r="E38" s="148"/>
      <c r="F38" s="230"/>
      <c r="G38" s="114" t="s">
        <v>255</v>
      </c>
      <c r="H38" s="115"/>
      <c r="J38" s="370"/>
      <c r="K38" s="371"/>
      <c r="L38" s="371"/>
      <c r="M38" s="646"/>
      <c r="N38" s="202"/>
    </row>
    <row r="39" spans="1:20" ht="19.95" customHeight="1">
      <c r="A39" s="140">
        <v>10</v>
      </c>
      <c r="B39" s="733" t="s">
        <v>300</v>
      </c>
      <c r="C39" s="446"/>
      <c r="D39" s="149" t="s">
        <v>301</v>
      </c>
      <c r="E39" s="148"/>
      <c r="F39" s="230"/>
      <c r="G39" s="114" t="s">
        <v>255</v>
      </c>
      <c r="H39" s="115"/>
      <c r="J39" s="370"/>
      <c r="K39" s="371"/>
      <c r="L39" s="371"/>
      <c r="M39" s="646"/>
      <c r="N39" s="202"/>
    </row>
    <row r="40" spans="1:20" ht="19.95" customHeight="1">
      <c r="A40" s="140">
        <v>11</v>
      </c>
      <c r="B40" s="733" t="s">
        <v>302</v>
      </c>
      <c r="C40" s="446"/>
      <c r="D40" s="149" t="s">
        <v>303</v>
      </c>
      <c r="E40" s="148"/>
      <c r="F40" s="230"/>
      <c r="G40" s="114" t="s">
        <v>255</v>
      </c>
      <c r="H40" s="115"/>
      <c r="J40" s="370"/>
      <c r="K40" s="371"/>
      <c r="L40" s="371"/>
      <c r="M40" s="646"/>
      <c r="N40" s="202"/>
    </row>
    <row r="41" spans="1:20" ht="19.95" customHeight="1">
      <c r="A41" s="165">
        <v>12</v>
      </c>
      <c r="B41" s="759" t="s">
        <v>304</v>
      </c>
      <c r="C41" s="447"/>
      <c r="D41" s="232" t="s">
        <v>303</v>
      </c>
      <c r="E41" s="194"/>
      <c r="F41" s="219"/>
      <c r="G41" s="116" t="s">
        <v>255</v>
      </c>
      <c r="H41" s="164"/>
      <c r="J41" s="370"/>
      <c r="K41" s="371"/>
      <c r="L41" s="371"/>
      <c r="M41" s="646"/>
      <c r="N41" s="202"/>
    </row>
    <row r="42" spans="1:20" ht="19.95" customHeight="1">
      <c r="A42" s="107"/>
      <c r="B42" s="338"/>
      <c r="C42" s="338"/>
      <c r="D42" s="110"/>
      <c r="E42" s="111"/>
      <c r="F42" s="233"/>
      <c r="G42" s="107"/>
      <c r="H42" s="107"/>
      <c r="J42" s="370"/>
      <c r="K42" s="371"/>
      <c r="L42" s="371"/>
      <c r="M42" s="646"/>
      <c r="N42" s="202"/>
    </row>
    <row r="43" spans="1:20" ht="19.95" customHeight="1">
      <c r="A43" s="348" t="s">
        <v>32</v>
      </c>
      <c r="B43" s="349" t="s">
        <v>211</v>
      </c>
      <c r="C43" s="349"/>
      <c r="D43" s="352" t="s">
        <v>196</v>
      </c>
      <c r="E43" s="601" t="s">
        <v>197</v>
      </c>
      <c r="F43" s="601"/>
      <c r="G43" s="349" t="s">
        <v>35</v>
      </c>
      <c r="H43" s="350" t="s">
        <v>138</v>
      </c>
      <c r="J43" s="643"/>
      <c r="K43" s="644"/>
      <c r="L43" s="644"/>
      <c r="M43" s="645"/>
      <c r="N43" s="202"/>
    </row>
    <row r="44" spans="1:20" ht="19.95" customHeight="1">
      <c r="A44" s="643"/>
      <c r="B44" s="644"/>
      <c r="C44" s="644"/>
      <c r="D44" s="355"/>
      <c r="E44" s="184" t="s">
        <v>202</v>
      </c>
      <c r="F44" s="184" t="s">
        <v>202</v>
      </c>
      <c r="G44" s="644"/>
      <c r="H44" s="645"/>
      <c r="J44" s="643"/>
      <c r="K44" s="644"/>
      <c r="L44" s="644"/>
      <c r="M44" s="645"/>
      <c r="N44" s="202"/>
    </row>
    <row r="45" spans="1:20" ht="19.95" customHeight="1">
      <c r="A45" s="140">
        <v>1</v>
      </c>
      <c r="B45" s="441" t="s">
        <v>305</v>
      </c>
      <c r="C45" s="441"/>
      <c r="D45" s="222" t="s">
        <v>204</v>
      </c>
      <c r="E45" s="148"/>
      <c r="F45" s="230"/>
      <c r="G45" s="114" t="s">
        <v>140</v>
      </c>
      <c r="H45" s="115"/>
      <c r="J45" s="643"/>
      <c r="K45" s="644"/>
      <c r="L45" s="644"/>
      <c r="M45" s="645"/>
      <c r="N45" s="202"/>
      <c r="P45" s="107"/>
      <c r="Q45" s="107"/>
    </row>
    <row r="46" spans="1:20" ht="19.95" customHeight="1">
      <c r="A46" s="140">
        <v>2</v>
      </c>
      <c r="B46" s="441" t="s">
        <v>306</v>
      </c>
      <c r="C46" s="441"/>
      <c r="D46" s="222" t="s">
        <v>307</v>
      </c>
      <c r="E46" s="148"/>
      <c r="F46" s="230"/>
      <c r="G46" s="114" t="s">
        <v>140</v>
      </c>
      <c r="H46" s="115"/>
      <c r="J46" s="723"/>
      <c r="K46" s="659"/>
      <c r="L46" s="659"/>
      <c r="M46" s="429"/>
      <c r="N46" s="202"/>
      <c r="P46" s="107"/>
      <c r="Q46" s="107"/>
    </row>
    <row r="47" spans="1:20" ht="19.95" customHeight="1">
      <c r="A47" s="140">
        <v>3</v>
      </c>
      <c r="B47" s="441" t="s">
        <v>308</v>
      </c>
      <c r="C47" s="441"/>
      <c r="D47" s="222">
        <v>0</v>
      </c>
      <c r="E47" s="148"/>
      <c r="F47" s="230"/>
      <c r="G47" s="114" t="s">
        <v>140</v>
      </c>
      <c r="H47" s="115"/>
      <c r="J47" s="92"/>
      <c r="K47" s="92"/>
      <c r="L47" s="92"/>
      <c r="M47" s="92"/>
      <c r="N47" s="202"/>
      <c r="O47" s="441" t="s">
        <v>309</v>
      </c>
      <c r="P47" s="441"/>
      <c r="Q47" s="149" t="s">
        <v>310</v>
      </c>
      <c r="R47" s="148"/>
      <c r="S47" s="230"/>
      <c r="T47" s="114" t="s">
        <v>140</v>
      </c>
    </row>
    <row r="48" spans="1:20" ht="19.95" customHeight="1">
      <c r="A48" s="140">
        <v>4</v>
      </c>
      <c r="B48" s="441" t="s">
        <v>244</v>
      </c>
      <c r="C48" s="441"/>
      <c r="D48" s="234" t="s">
        <v>245</v>
      </c>
      <c r="E48" s="148"/>
      <c r="F48" s="230"/>
      <c r="G48" s="114" t="s">
        <v>140</v>
      </c>
      <c r="H48" s="115"/>
      <c r="J48" s="348" t="s">
        <v>149</v>
      </c>
      <c r="K48" s="349"/>
      <c r="L48" s="349"/>
      <c r="M48" s="350"/>
      <c r="N48" s="202"/>
      <c r="P48" s="107"/>
      <c r="Q48" s="107"/>
    </row>
    <row r="49" spans="1:17" ht="19.95" customHeight="1">
      <c r="A49" s="140">
        <v>5</v>
      </c>
      <c r="B49" s="441" t="s">
        <v>311</v>
      </c>
      <c r="C49" s="441"/>
      <c r="D49" s="149" t="s">
        <v>312</v>
      </c>
      <c r="E49" s="148"/>
      <c r="F49" s="230"/>
      <c r="G49" s="114" t="s">
        <v>140</v>
      </c>
      <c r="H49" s="115"/>
      <c r="J49" s="612"/>
      <c r="K49" s="578"/>
      <c r="L49" s="578"/>
      <c r="M49" s="649"/>
      <c r="N49" s="202"/>
      <c r="P49" s="107"/>
      <c r="Q49" s="107"/>
    </row>
    <row r="50" spans="1:17" ht="19.95" customHeight="1">
      <c r="A50" s="140">
        <v>6</v>
      </c>
      <c r="B50" s="441" t="s">
        <v>313</v>
      </c>
      <c r="C50" s="441"/>
      <c r="D50" s="149" t="s">
        <v>381</v>
      </c>
      <c r="E50" s="148"/>
      <c r="F50" s="230"/>
      <c r="G50" s="114" t="s">
        <v>140</v>
      </c>
      <c r="H50" s="115"/>
      <c r="J50" s="734"/>
      <c r="K50" s="735"/>
      <c r="L50" s="735"/>
      <c r="M50" s="736"/>
      <c r="N50" s="202"/>
      <c r="P50" s="107"/>
      <c r="Q50" s="107"/>
    </row>
    <row r="51" spans="1:17" ht="19.95" customHeight="1">
      <c r="A51" s="464">
        <v>7</v>
      </c>
      <c r="B51" s="760" t="s">
        <v>314</v>
      </c>
      <c r="C51" s="761"/>
      <c r="D51" s="458" t="s">
        <v>380</v>
      </c>
      <c r="E51" s="753"/>
      <c r="F51" s="900"/>
      <c r="G51" s="418" t="s">
        <v>140</v>
      </c>
      <c r="H51" s="427"/>
      <c r="J51" s="734"/>
      <c r="K51" s="735"/>
      <c r="L51" s="735"/>
      <c r="M51" s="736"/>
      <c r="N51" s="202"/>
      <c r="P51" s="107"/>
      <c r="Q51" s="107"/>
    </row>
    <row r="52" spans="1:17" ht="19.95" customHeight="1">
      <c r="A52" s="748"/>
      <c r="B52" s="762"/>
      <c r="C52" s="763"/>
      <c r="D52" s="410"/>
      <c r="E52" s="754"/>
      <c r="F52" s="900"/>
      <c r="G52" s="419"/>
      <c r="H52" s="428"/>
      <c r="J52" s="734"/>
      <c r="K52" s="735"/>
      <c r="L52" s="735"/>
      <c r="M52" s="736"/>
      <c r="N52" s="202"/>
      <c r="P52" s="107"/>
      <c r="Q52" s="107"/>
    </row>
    <row r="53" spans="1:17" ht="19.95" customHeight="1">
      <c r="A53" s="140">
        <v>8</v>
      </c>
      <c r="B53" s="441" t="s">
        <v>309</v>
      </c>
      <c r="C53" s="441"/>
      <c r="D53" s="149" t="s">
        <v>310</v>
      </c>
      <c r="E53" s="148"/>
      <c r="F53" s="230"/>
      <c r="G53" s="114" t="s">
        <v>140</v>
      </c>
      <c r="H53" s="115"/>
      <c r="J53" s="734"/>
      <c r="K53" s="735"/>
      <c r="L53" s="735"/>
      <c r="M53" s="736"/>
      <c r="N53" s="202"/>
      <c r="P53" s="107"/>
      <c r="Q53" s="107"/>
    </row>
    <row r="54" spans="1:17" ht="19.95" customHeight="1">
      <c r="A54" s="464">
        <v>9</v>
      </c>
      <c r="B54" s="760" t="s">
        <v>315</v>
      </c>
      <c r="C54" s="761"/>
      <c r="D54" s="750" t="s">
        <v>316</v>
      </c>
      <c r="E54" s="724"/>
      <c r="F54" s="724"/>
      <c r="G54" s="724"/>
      <c r="H54" s="727"/>
      <c r="J54" s="734"/>
      <c r="K54" s="735"/>
      <c r="L54" s="735"/>
      <c r="M54" s="736"/>
      <c r="N54" s="202"/>
      <c r="P54" s="107"/>
      <c r="Q54" s="107"/>
    </row>
    <row r="55" spans="1:17" ht="19.95" customHeight="1">
      <c r="A55" s="748"/>
      <c r="B55" s="762"/>
      <c r="C55" s="763"/>
      <c r="D55" s="408"/>
      <c r="E55" s="899"/>
      <c r="F55" s="899"/>
      <c r="G55" s="899"/>
      <c r="H55" s="901"/>
      <c r="J55" s="734"/>
      <c r="K55" s="735"/>
      <c r="L55" s="735"/>
      <c r="M55" s="736"/>
      <c r="N55" s="202"/>
      <c r="P55" s="107"/>
      <c r="Q55" s="107"/>
    </row>
    <row r="56" spans="1:17" ht="19.95" customHeight="1">
      <c r="A56" s="464">
        <v>10</v>
      </c>
      <c r="B56" s="760" t="s">
        <v>218</v>
      </c>
      <c r="C56" s="761"/>
      <c r="D56" s="750" t="s">
        <v>317</v>
      </c>
      <c r="E56" s="724"/>
      <c r="F56" s="724"/>
      <c r="G56" s="724"/>
      <c r="H56" s="727"/>
      <c r="J56" s="734"/>
      <c r="K56" s="735"/>
      <c r="L56" s="735"/>
      <c r="M56" s="736"/>
      <c r="N56" s="202"/>
      <c r="P56" s="107"/>
      <c r="Q56" s="107"/>
    </row>
    <row r="57" spans="1:17" ht="19.95" customHeight="1">
      <c r="A57" s="457"/>
      <c r="B57" s="764"/>
      <c r="C57" s="456"/>
      <c r="D57" s="751"/>
      <c r="E57" s="725"/>
      <c r="F57" s="725"/>
      <c r="G57" s="725"/>
      <c r="H57" s="728"/>
      <c r="J57" s="734"/>
      <c r="K57" s="735"/>
      <c r="L57" s="735"/>
      <c r="M57" s="736"/>
      <c r="N57" s="202"/>
      <c r="P57" s="107"/>
      <c r="Q57" s="107"/>
    </row>
    <row r="58" spans="1:17" ht="19.95" customHeight="1">
      <c r="A58" s="749"/>
      <c r="B58" s="765"/>
      <c r="C58" s="766"/>
      <c r="D58" s="752"/>
      <c r="E58" s="726"/>
      <c r="F58" s="726"/>
      <c r="G58" s="726"/>
      <c r="H58" s="729"/>
      <c r="J58" s="755"/>
      <c r="K58" s="756"/>
      <c r="L58" s="756"/>
      <c r="M58" s="757"/>
      <c r="N58" s="202"/>
      <c r="P58" s="107"/>
      <c r="Q58" s="107"/>
    </row>
    <row r="59" spans="1:17" ht="18" customHeight="1">
      <c r="B59" s="207"/>
      <c r="C59" s="208"/>
      <c r="D59" s="208"/>
      <c r="E59" s="208"/>
      <c r="F59" s="208"/>
      <c r="G59" s="208"/>
      <c r="H59" s="208"/>
      <c r="N59" s="202"/>
      <c r="P59" s="107"/>
      <c r="Q59" s="107"/>
    </row>
    <row r="60" spans="1:17" ht="18" customHeight="1">
      <c r="A60" s="711" t="s">
        <v>318</v>
      </c>
      <c r="B60" s="596"/>
      <c r="C60" s="596"/>
      <c r="D60" s="597"/>
      <c r="E60" s="605" t="s">
        <v>319</v>
      </c>
      <c r="F60" s="596"/>
      <c r="G60" s="596"/>
      <c r="H60" s="606"/>
      <c r="I60" s="107"/>
      <c r="J60" s="351" t="s">
        <v>367</v>
      </c>
      <c r="K60" s="352"/>
      <c r="L60" s="352" t="s">
        <v>368</v>
      </c>
      <c r="M60" s="353"/>
    </row>
    <row r="61" spans="1:17" ht="18" customHeight="1">
      <c r="A61" s="598"/>
      <c r="B61" s="599"/>
      <c r="C61" s="599"/>
      <c r="D61" s="600"/>
      <c r="E61" s="607"/>
      <c r="F61" s="599"/>
      <c r="G61" s="599"/>
      <c r="H61" s="608"/>
      <c r="J61" s="354"/>
      <c r="K61" s="355"/>
      <c r="L61" s="355"/>
      <c r="M61" s="356"/>
    </row>
    <row r="62" spans="1:17" ht="18" customHeight="1">
      <c r="A62" s="370"/>
      <c r="B62" s="371"/>
      <c r="C62" s="371"/>
      <c r="D62" s="371"/>
      <c r="E62" s="371"/>
      <c r="F62" s="371"/>
      <c r="G62" s="371"/>
      <c r="H62" s="646"/>
      <c r="J62" s="354"/>
      <c r="K62" s="355"/>
      <c r="L62" s="355"/>
      <c r="M62" s="356"/>
    </row>
    <row r="63" spans="1:17" ht="18" customHeight="1">
      <c r="A63" s="370"/>
      <c r="B63" s="371"/>
      <c r="C63" s="371"/>
      <c r="D63" s="371"/>
      <c r="E63" s="371"/>
      <c r="F63" s="371"/>
      <c r="G63" s="371"/>
      <c r="H63" s="646"/>
      <c r="J63" s="354"/>
      <c r="K63" s="355"/>
      <c r="L63" s="355"/>
      <c r="M63" s="356"/>
    </row>
    <row r="64" spans="1:17" ht="18" customHeight="1">
      <c r="A64" s="405"/>
      <c r="B64" s="439"/>
      <c r="C64" s="439"/>
      <c r="D64" s="439"/>
      <c r="E64" s="439"/>
      <c r="F64" s="439"/>
      <c r="G64" s="439"/>
      <c r="H64" s="658"/>
      <c r="J64" s="357"/>
      <c r="K64" s="358"/>
      <c r="L64" s="358"/>
      <c r="M64" s="359"/>
    </row>
    <row r="67" spans="2:7">
      <c r="D67" s="402"/>
      <c r="E67" s="402"/>
      <c r="F67" s="402"/>
      <c r="G67" s="402"/>
    </row>
    <row r="68" spans="2:7">
      <c r="B68" s="338"/>
      <c r="C68" s="338"/>
      <c r="D68" s="624"/>
      <c r="E68" s="624"/>
      <c r="F68" s="624"/>
      <c r="G68" s="624"/>
    </row>
    <row r="69" spans="2:7">
      <c r="B69" s="338"/>
      <c r="C69" s="338"/>
      <c r="D69" s="624"/>
      <c r="E69" s="624"/>
      <c r="F69" s="625"/>
      <c r="G69" s="625"/>
    </row>
    <row r="70" spans="2:7">
      <c r="B70" s="338"/>
      <c r="C70" s="338"/>
      <c r="D70" s="624"/>
      <c r="E70" s="624"/>
      <c r="F70" s="626"/>
      <c r="G70" s="626"/>
    </row>
    <row r="71" spans="2:7">
      <c r="B71" s="338"/>
      <c r="C71" s="338"/>
      <c r="D71" s="624"/>
      <c r="E71" s="624"/>
      <c r="F71" s="624"/>
      <c r="G71" s="624"/>
    </row>
    <row r="72" spans="2:7">
      <c r="B72" s="338"/>
      <c r="C72" s="338"/>
      <c r="D72" s="624"/>
      <c r="E72" s="624"/>
      <c r="F72" s="624"/>
      <c r="G72" s="624"/>
    </row>
    <row r="73" spans="2:7">
      <c r="B73" s="338"/>
      <c r="C73" s="338"/>
      <c r="D73" s="624"/>
      <c r="E73" s="624"/>
      <c r="F73" s="626"/>
      <c r="G73" s="626"/>
    </row>
    <row r="74" spans="2:7">
      <c r="B74" s="338"/>
      <c r="C74" s="338"/>
      <c r="D74" s="624"/>
      <c r="E74" s="624"/>
      <c r="F74" s="626"/>
      <c r="G74" s="626"/>
    </row>
    <row r="75" spans="2:7">
      <c r="B75" s="338"/>
      <c r="C75" s="338"/>
      <c r="D75" s="624"/>
      <c r="E75" s="624"/>
      <c r="F75" s="626"/>
      <c r="G75" s="626"/>
    </row>
    <row r="76" spans="2:7">
      <c r="B76" s="338"/>
      <c r="C76" s="338"/>
      <c r="D76" s="624"/>
      <c r="E76" s="624"/>
      <c r="F76" s="632"/>
      <c r="G76" s="632"/>
    </row>
  </sheetData>
  <mergeCells count="176">
    <mergeCell ref="J24:M24"/>
    <mergeCell ref="J25:K25"/>
    <mergeCell ref="L25:M25"/>
    <mergeCell ref="J26:K27"/>
    <mergeCell ref="A62:D64"/>
    <mergeCell ref="E62:H64"/>
    <mergeCell ref="J62:K64"/>
    <mergeCell ref="L62:M64"/>
    <mergeCell ref="B56:C58"/>
    <mergeCell ref="M35:M36"/>
    <mergeCell ref="M37:M38"/>
    <mergeCell ref="M39:M40"/>
    <mergeCell ref="M41:M42"/>
    <mergeCell ref="M43:M44"/>
    <mergeCell ref="M45:M46"/>
    <mergeCell ref="A60:D61"/>
    <mergeCell ref="E60:H61"/>
    <mergeCell ref="J60:K61"/>
    <mergeCell ref="L60:M61"/>
    <mergeCell ref="K35:K36"/>
    <mergeCell ref="K37:K38"/>
    <mergeCell ref="K39:K40"/>
    <mergeCell ref="K41:K42"/>
    <mergeCell ref="K43:K44"/>
    <mergeCell ref="E43:F43"/>
    <mergeCell ref="G43:G44"/>
    <mergeCell ref="H43:H44"/>
    <mergeCell ref="J35:J36"/>
    <mergeCell ref="J37:J38"/>
    <mergeCell ref="J39:J40"/>
    <mergeCell ref="J41:J42"/>
    <mergeCell ref="J43:J44"/>
    <mergeCell ref="B40:C40"/>
    <mergeCell ref="B41:C41"/>
    <mergeCell ref="B42:C42"/>
    <mergeCell ref="K45:K46"/>
    <mergeCell ref="L35:L36"/>
    <mergeCell ref="L37:L38"/>
    <mergeCell ref="L39:L40"/>
    <mergeCell ref="L41:L42"/>
    <mergeCell ref="L43:L44"/>
    <mergeCell ref="L45:L46"/>
    <mergeCell ref="J45:J46"/>
    <mergeCell ref="J56:M56"/>
    <mergeCell ref="J51:M51"/>
    <mergeCell ref="A51:A52"/>
    <mergeCell ref="A54:A55"/>
    <mergeCell ref="A56:A58"/>
    <mergeCell ref="D28:D29"/>
    <mergeCell ref="D43:D44"/>
    <mergeCell ref="D51:D52"/>
    <mergeCell ref="D54:D55"/>
    <mergeCell ref="D56:D58"/>
    <mergeCell ref="B28:C29"/>
    <mergeCell ref="B43:C44"/>
    <mergeCell ref="B51:C52"/>
    <mergeCell ref="B54:C55"/>
    <mergeCell ref="B45:C45"/>
    <mergeCell ref="B46:C46"/>
    <mergeCell ref="B47:C47"/>
    <mergeCell ref="B53:C53"/>
    <mergeCell ref="B35:C35"/>
    <mergeCell ref="B36:C36"/>
    <mergeCell ref="B37:C37"/>
    <mergeCell ref="B38:C38"/>
    <mergeCell ref="B39:C39"/>
    <mergeCell ref="A28:A29"/>
    <mergeCell ref="A43:A44"/>
    <mergeCell ref="D75:E75"/>
    <mergeCell ref="F75:G75"/>
    <mergeCell ref="D67:E67"/>
    <mergeCell ref="F67:G67"/>
    <mergeCell ref="B68:C68"/>
    <mergeCell ref="D68:E68"/>
    <mergeCell ref="F68:G68"/>
    <mergeCell ref="B69:C69"/>
    <mergeCell ref="D69:E69"/>
    <mergeCell ref="F69:G69"/>
    <mergeCell ref="B70:C70"/>
    <mergeCell ref="D70:E70"/>
    <mergeCell ref="F70:G70"/>
    <mergeCell ref="O47:P47"/>
    <mergeCell ref="B48:C48"/>
    <mergeCell ref="J48:M48"/>
    <mergeCell ref="B49:C49"/>
    <mergeCell ref="J49:M49"/>
    <mergeCell ref="B50:C50"/>
    <mergeCell ref="J50:M50"/>
    <mergeCell ref="E51:E52"/>
    <mergeCell ref="B76:C76"/>
    <mergeCell ref="D76:E76"/>
    <mergeCell ref="F76:G76"/>
    <mergeCell ref="B71:C71"/>
    <mergeCell ref="D71:E71"/>
    <mergeCell ref="F71:G71"/>
    <mergeCell ref="B72:C72"/>
    <mergeCell ref="D72:E72"/>
    <mergeCell ref="F72:G72"/>
    <mergeCell ref="B73:C73"/>
    <mergeCell ref="D73:E73"/>
    <mergeCell ref="F73:G73"/>
    <mergeCell ref="B74:C74"/>
    <mergeCell ref="D74:E74"/>
    <mergeCell ref="F74:G74"/>
    <mergeCell ref="B75:C75"/>
    <mergeCell ref="E54:E55"/>
    <mergeCell ref="E56:E58"/>
    <mergeCell ref="F51:F52"/>
    <mergeCell ref="F54:F55"/>
    <mergeCell ref="F56:F58"/>
    <mergeCell ref="G51:G52"/>
    <mergeCell ref="G54:G55"/>
    <mergeCell ref="G56:G58"/>
    <mergeCell ref="J53:M53"/>
    <mergeCell ref="J54:M54"/>
    <mergeCell ref="J55:M55"/>
    <mergeCell ref="J57:M57"/>
    <mergeCell ref="J52:M52"/>
    <mergeCell ref="J58:M58"/>
    <mergeCell ref="H51:H52"/>
    <mergeCell ref="H54:H55"/>
    <mergeCell ref="H56:H58"/>
    <mergeCell ref="D27:E27"/>
    <mergeCell ref="G27:H27"/>
    <mergeCell ref="E28:F28"/>
    <mergeCell ref="B30:C30"/>
    <mergeCell ref="B31:C31"/>
    <mergeCell ref="B32:C32"/>
    <mergeCell ref="B33:C33"/>
    <mergeCell ref="B34:C34"/>
    <mergeCell ref="G28:G29"/>
    <mergeCell ref="H28:H29"/>
    <mergeCell ref="B17:C17"/>
    <mergeCell ref="B18:C18"/>
    <mergeCell ref="B19:C19"/>
    <mergeCell ref="B20:C20"/>
    <mergeCell ref="J20:M20"/>
    <mergeCell ref="B21:C21"/>
    <mergeCell ref="J21:K21"/>
    <mergeCell ref="L21:M21"/>
    <mergeCell ref="B22:C22"/>
    <mergeCell ref="J17:K18"/>
    <mergeCell ref="J22:K23"/>
    <mergeCell ref="B23:C23"/>
    <mergeCell ref="A13:B13"/>
    <mergeCell ref="C13:G13"/>
    <mergeCell ref="H13:M13"/>
    <mergeCell ref="A15:H15"/>
    <mergeCell ref="J15:M15"/>
    <mergeCell ref="A16:C16"/>
    <mergeCell ref="D16:E16"/>
    <mergeCell ref="F16:H16"/>
    <mergeCell ref="J16:K16"/>
    <mergeCell ref="L16:M16"/>
    <mergeCell ref="A8:B8"/>
    <mergeCell ref="C8:H8"/>
    <mergeCell ref="A10:B10"/>
    <mergeCell ref="C10:G10"/>
    <mergeCell ref="H10:M10"/>
    <mergeCell ref="A11:B11"/>
    <mergeCell ref="C11:G11"/>
    <mergeCell ref="H11:M11"/>
    <mergeCell ref="A12:B12"/>
    <mergeCell ref="C12:G12"/>
    <mergeCell ref="H12:M12"/>
    <mergeCell ref="K1:M1"/>
    <mergeCell ref="K2:M2"/>
    <mergeCell ref="K3:M3"/>
    <mergeCell ref="A5:B5"/>
    <mergeCell ref="C5:H5"/>
    <mergeCell ref="A6:B6"/>
    <mergeCell ref="C6:H6"/>
    <mergeCell ref="A7:B7"/>
    <mergeCell ref="C7:H7"/>
    <mergeCell ref="A1:B3"/>
    <mergeCell ref="C1:J3"/>
  </mergeCells>
  <conditionalFormatting sqref="C27">
    <cfRule type="duplicateValues" dxfId="35" priority="1" stopIfTrue="1"/>
    <cfRule type="duplicateValues" dxfId="34" priority="2" stopIfTrue="1"/>
    <cfRule type="duplicateValues" dxfId="33" priority="3" stopIfTrue="1"/>
    <cfRule type="duplicateValues" dxfId="32" priority="4" stopIfTrue="1"/>
    <cfRule type="duplicateValues" dxfId="31" priority="5" stopIfTrue="1"/>
    <cfRule type="duplicateValues" dxfId="30" priority="6" stopIfTrue="1"/>
  </conditionalFormatting>
  <printOptions horizontalCentered="1"/>
  <pageMargins left="0.23622047244094499" right="0.23622047244094499" top="0.39305555555555599" bottom="0.27500000000000002" header="0.31496062992126" footer="0.31496062992126"/>
  <pageSetup paperSize="9" scale="64" orientation="portrait" horizontalDpi="300" verticalDpi="30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00B0F0"/>
    <pageSetUpPr fitToPage="1"/>
  </sheetPr>
  <dimension ref="A1:Q71"/>
  <sheetViews>
    <sheetView showGridLines="0" view="pageBreakPreview" topLeftCell="A26" zoomScale="70" zoomScaleNormal="100" zoomScaleSheetLayoutView="70" zoomScalePageLayoutView="85" workbookViewId="0">
      <selection activeCell="D34" sqref="D34"/>
    </sheetView>
  </sheetViews>
  <sheetFormatPr defaultColWidth="8.88671875" defaultRowHeight="13.8"/>
  <cols>
    <col min="1" max="1" width="4" style="91" customWidth="1"/>
    <col min="2" max="2" width="19" style="91" customWidth="1"/>
    <col min="3" max="3" width="5.44140625" style="91" customWidth="1"/>
    <col min="4" max="4" width="24.44140625" style="91" customWidth="1"/>
    <col min="5" max="6" width="10.44140625" style="91" customWidth="1"/>
    <col min="7" max="8" width="10.33203125" style="91" customWidth="1"/>
    <col min="9" max="9" width="1.77734375" style="91" customWidth="1"/>
    <col min="10" max="10" width="10.109375" style="91" customWidth="1"/>
    <col min="11" max="11" width="11.109375" style="91" customWidth="1"/>
    <col min="12" max="12" width="9.88671875" style="91" customWidth="1"/>
    <col min="13" max="13" width="8.88671875" style="91" customWidth="1"/>
    <col min="14" max="14" width="8.88671875" style="91"/>
    <col min="15" max="15" width="9.88671875" style="91" customWidth="1"/>
    <col min="16" max="16" width="17.109375" style="91" customWidth="1"/>
    <col min="17" max="17" width="2" style="91" hidden="1" customWidth="1"/>
    <col min="18" max="18" width="51.109375" style="91" customWidth="1"/>
    <col min="19" max="16384" width="8.88671875" style="91"/>
  </cols>
  <sheetData>
    <row r="1" spans="1:13" ht="19.05" customHeight="1">
      <c r="A1" s="705"/>
      <c r="B1" s="706"/>
      <c r="C1" s="711" t="s">
        <v>178</v>
      </c>
      <c r="D1" s="712"/>
      <c r="E1" s="712"/>
      <c r="F1" s="712"/>
      <c r="G1" s="712"/>
      <c r="H1" s="712"/>
      <c r="I1" s="712"/>
      <c r="J1" s="713"/>
      <c r="K1" s="342" t="s">
        <v>179</v>
      </c>
      <c r="L1" s="343"/>
      <c r="M1" s="344"/>
    </row>
    <row r="2" spans="1:13" ht="19.05" customHeight="1">
      <c r="A2" s="707"/>
      <c r="B2" s="708"/>
      <c r="C2" s="714"/>
      <c r="D2" s="581"/>
      <c r="E2" s="581"/>
      <c r="F2" s="581"/>
      <c r="G2" s="581"/>
      <c r="H2" s="581"/>
      <c r="I2" s="581"/>
      <c r="J2" s="620"/>
      <c r="K2" s="374" t="s">
        <v>114</v>
      </c>
      <c r="L2" s="375"/>
      <c r="M2" s="376"/>
    </row>
    <row r="3" spans="1:13" ht="19.05" customHeight="1">
      <c r="A3" s="709"/>
      <c r="B3" s="710"/>
      <c r="C3" s="715"/>
      <c r="D3" s="716"/>
      <c r="E3" s="716"/>
      <c r="F3" s="716"/>
      <c r="G3" s="716"/>
      <c r="H3" s="716"/>
      <c r="I3" s="716"/>
      <c r="J3" s="717"/>
      <c r="K3" s="381" t="s">
        <v>165</v>
      </c>
      <c r="L3" s="382"/>
      <c r="M3" s="383"/>
    </row>
    <row r="4" spans="1:13" ht="15" customHeight="1">
      <c r="A4" s="107"/>
      <c r="C4" s="178"/>
    </row>
    <row r="5" spans="1:13" ht="15" customHeight="1">
      <c r="A5" s="576" t="s">
        <v>116</v>
      </c>
      <c r="B5" s="576"/>
      <c r="C5" s="575" t="str">
        <f>'In 2'!C5</f>
        <v>26BA2HKH00563000029</v>
      </c>
      <c r="D5" s="575"/>
      <c r="E5" s="575"/>
      <c r="F5" s="575"/>
      <c r="G5" s="575"/>
      <c r="H5" s="575"/>
      <c r="I5" s="92" t="s">
        <v>3</v>
      </c>
      <c r="J5" s="92"/>
      <c r="K5" s="179" t="str">
        <f>'In 2'!K5</f>
        <v>SX2607045</v>
      </c>
    </row>
    <row r="6" spans="1:13" ht="15" customHeight="1">
      <c r="A6" s="577" t="s">
        <v>117</v>
      </c>
      <c r="B6" s="577"/>
      <c r="C6" s="338" t="str">
        <f>'In 2'!C6</f>
        <v>BT1KH00563KP0004</v>
      </c>
      <c r="D6" s="338"/>
      <c r="E6" s="338"/>
      <c r="F6" s="338"/>
      <c r="G6" s="338"/>
      <c r="H6" s="338"/>
      <c r="I6" s="92" t="s">
        <v>184</v>
      </c>
      <c r="J6" s="92"/>
      <c r="K6" s="94" t="s">
        <v>172</v>
      </c>
    </row>
    <row r="7" spans="1:13" ht="15" customHeight="1">
      <c r="A7" s="577" t="s">
        <v>120</v>
      </c>
      <c r="B7" s="577"/>
      <c r="C7" s="338" t="str">
        <f>'In 2'!C7</f>
        <v>Bao giấy 25kg AM-20 Tân Châu</v>
      </c>
      <c r="D7" s="338"/>
      <c r="E7" s="338"/>
      <c r="F7" s="338"/>
      <c r="G7" s="338"/>
      <c r="H7" s="338"/>
      <c r="I7" s="180" t="s">
        <v>121</v>
      </c>
      <c r="J7" s="180"/>
      <c r="K7" s="181" t="s">
        <v>387</v>
      </c>
    </row>
    <row r="8" spans="1:13" ht="31.8" customHeight="1">
      <c r="A8" s="577" t="s">
        <v>123</v>
      </c>
      <c r="B8" s="577"/>
      <c r="C8" s="575" t="str">
        <f>'In 2'!C8</f>
        <v xml:space="preserve">NHÀ MÁY SX TINH BỘT SẮN TÂN CHÂU-CN CÔNG TY CPNS THỰC PHẨM QUẢNG NGÃI					</v>
      </c>
      <c r="D8" s="575"/>
      <c r="E8" s="575"/>
      <c r="F8" s="575"/>
      <c r="G8" s="575"/>
      <c r="H8" s="575"/>
      <c r="I8" s="180" t="s">
        <v>124</v>
      </c>
      <c r="J8" s="180"/>
      <c r="K8" s="94" t="s">
        <v>387</v>
      </c>
    </row>
    <row r="9" spans="1:13" ht="15" customHeight="1">
      <c r="A9" s="94"/>
      <c r="B9" s="94"/>
      <c r="C9" s="94"/>
      <c r="D9" s="94"/>
      <c r="E9" s="94"/>
      <c r="I9" s="94"/>
      <c r="K9" s="94"/>
    </row>
    <row r="10" spans="1:13" ht="19.05" customHeight="1">
      <c r="A10" s="345"/>
      <c r="B10" s="346"/>
      <c r="C10" s="349" t="s">
        <v>125</v>
      </c>
      <c r="D10" s="349"/>
      <c r="E10" s="349"/>
      <c r="F10" s="349"/>
      <c r="G10" s="349"/>
      <c r="H10" s="349" t="s">
        <v>126</v>
      </c>
      <c r="I10" s="349"/>
      <c r="J10" s="349"/>
      <c r="K10" s="349"/>
      <c r="L10" s="349"/>
      <c r="M10" s="350"/>
    </row>
    <row r="11" spans="1:13" ht="19.05" customHeight="1">
      <c r="A11" s="440" t="s">
        <v>127</v>
      </c>
      <c r="B11" s="441"/>
      <c r="C11" s="371" t="s">
        <v>358</v>
      </c>
      <c r="D11" s="371"/>
      <c r="E11" s="371"/>
      <c r="F11" s="371"/>
      <c r="G11" s="371"/>
      <c r="H11" s="371" t="s">
        <v>358</v>
      </c>
      <c r="I11" s="371"/>
      <c r="J11" s="371"/>
      <c r="K11" s="371"/>
      <c r="L11" s="371"/>
      <c r="M11" s="646"/>
    </row>
    <row r="12" spans="1:13" ht="19.05" customHeight="1">
      <c r="A12" s="440" t="s">
        <v>129</v>
      </c>
      <c r="B12" s="441"/>
      <c r="C12" s="371" t="s">
        <v>130</v>
      </c>
      <c r="D12" s="371"/>
      <c r="E12" s="371"/>
      <c r="F12" s="371"/>
      <c r="G12" s="371"/>
      <c r="H12" s="371" t="s">
        <v>357</v>
      </c>
      <c r="I12" s="371"/>
      <c r="J12" s="371"/>
      <c r="K12" s="371"/>
      <c r="L12" s="371"/>
      <c r="M12" s="646"/>
    </row>
    <row r="13" spans="1:13" ht="19.05" customHeight="1">
      <c r="A13" s="448" t="s">
        <v>132</v>
      </c>
      <c r="B13" s="449"/>
      <c r="C13" s="659"/>
      <c r="D13" s="659"/>
      <c r="E13" s="659"/>
      <c r="F13" s="659"/>
      <c r="G13" s="659"/>
      <c r="H13" s="659"/>
      <c r="I13" s="659"/>
      <c r="J13" s="659"/>
      <c r="K13" s="659"/>
      <c r="L13" s="659"/>
      <c r="M13" s="429"/>
    </row>
    <row r="15" spans="1:13" ht="24" customHeight="1">
      <c r="A15" s="660" t="s">
        <v>173</v>
      </c>
      <c r="B15" s="330"/>
      <c r="C15" s="330"/>
      <c r="D15" s="330"/>
      <c r="E15" s="330"/>
      <c r="F15" s="330"/>
      <c r="G15" s="330"/>
      <c r="H15" s="331"/>
      <c r="J15" s="348" t="s">
        <v>185</v>
      </c>
      <c r="K15" s="349"/>
      <c r="L15" s="349"/>
      <c r="M15" s="350"/>
    </row>
    <row r="16" spans="1:13" ht="18" customHeight="1">
      <c r="A16" s="652" t="s">
        <v>242</v>
      </c>
      <c r="B16" s="653"/>
      <c r="C16" s="653"/>
      <c r="D16" s="906">
        <f>G18+G19</f>
        <v>205</v>
      </c>
      <c r="E16" s="907"/>
      <c r="F16" s="873" t="s">
        <v>51</v>
      </c>
      <c r="G16" s="873"/>
      <c r="H16" s="722"/>
      <c r="J16" s="643" t="s">
        <v>137</v>
      </c>
      <c r="K16" s="644"/>
      <c r="L16" s="644" t="s">
        <v>138</v>
      </c>
      <c r="M16" s="645"/>
    </row>
    <row r="17" spans="1:14" ht="18" customHeight="1">
      <c r="A17" s="183" t="s">
        <v>32</v>
      </c>
      <c r="B17" s="355" t="s">
        <v>33</v>
      </c>
      <c r="C17" s="355"/>
      <c r="D17" s="209" t="s">
        <v>34</v>
      </c>
      <c r="E17" s="184" t="s">
        <v>188</v>
      </c>
      <c r="F17" s="185" t="s">
        <v>6</v>
      </c>
      <c r="G17" s="185" t="s">
        <v>189</v>
      </c>
      <c r="H17" s="186" t="s">
        <v>190</v>
      </c>
      <c r="J17" s="435"/>
      <c r="K17" s="436"/>
      <c r="M17" s="187"/>
    </row>
    <row r="18" spans="1:14" ht="18" customHeight="1">
      <c r="A18" s="183">
        <v>1</v>
      </c>
      <c r="B18" s="333" t="str">
        <f>Thổi!C17</f>
        <v xml:space="preserve">LDPE </v>
      </c>
      <c r="C18" s="333"/>
      <c r="D18" s="210" t="str">
        <f>Thổi!D17</f>
        <v>NHLLDPEFD21HN</v>
      </c>
      <c r="E18" s="211">
        <v>1</v>
      </c>
      <c r="F18" s="189" t="s">
        <v>51</v>
      </c>
      <c r="G18" s="212">
        <f>Thổi!G17</f>
        <v>205</v>
      </c>
      <c r="H18" s="213"/>
      <c r="J18" s="672"/>
      <c r="K18" s="673"/>
      <c r="L18" s="191"/>
      <c r="M18" s="192"/>
    </row>
    <row r="19" spans="1:14" ht="18" customHeight="1">
      <c r="A19" s="140">
        <v>2</v>
      </c>
      <c r="B19" s="333" t="str">
        <f>Thổi!C18</f>
        <v>Hạt taical trắng EFPE 75T</v>
      </c>
      <c r="C19" s="333"/>
      <c r="D19" s="210" t="str">
        <f>Thổi!D18</f>
        <v>NHTEFPE75T01</v>
      </c>
      <c r="E19" s="214">
        <v>0</v>
      </c>
      <c r="F19" s="189" t="s">
        <v>51</v>
      </c>
      <c r="G19" s="212">
        <f>Thổi!G18</f>
        <v>0</v>
      </c>
      <c r="H19" s="213"/>
    </row>
    <row r="20" spans="1:14" ht="18" customHeight="1">
      <c r="A20" s="140">
        <v>3</v>
      </c>
      <c r="B20" s="902" t="str">
        <f>Thổi!C19</f>
        <v>Túi PE rin 52x112cm 40gr, đáy dài</v>
      </c>
      <c r="C20" s="903"/>
      <c r="D20" s="460" t="str">
        <f>Thổi!D19</f>
        <v>TEB0400521121</v>
      </c>
      <c r="E20" s="910"/>
      <c r="F20" s="114" t="s">
        <v>51</v>
      </c>
      <c r="G20" s="212">
        <f>Thổi!G19</f>
        <v>205</v>
      </c>
      <c r="H20" s="213"/>
      <c r="J20" s="348" t="s">
        <v>192</v>
      </c>
      <c r="K20" s="349"/>
      <c r="L20" s="349"/>
      <c r="M20" s="350"/>
    </row>
    <row r="21" spans="1:14" ht="23.4" customHeight="1">
      <c r="A21" s="140">
        <v>4</v>
      </c>
      <c r="B21" s="904"/>
      <c r="C21" s="905"/>
      <c r="D21" s="465"/>
      <c r="E21" s="910"/>
      <c r="F21" s="193" t="s">
        <v>76</v>
      </c>
      <c r="G21" s="212">
        <f>Thổi!G20</f>
        <v>5000</v>
      </c>
      <c r="H21" s="215"/>
      <c r="J21" s="643" t="s">
        <v>137</v>
      </c>
      <c r="K21" s="644"/>
      <c r="L21" s="644" t="s">
        <v>138</v>
      </c>
      <c r="M21" s="645"/>
    </row>
    <row r="22" spans="1:14" ht="18" customHeight="1">
      <c r="A22" s="140">
        <v>5</v>
      </c>
      <c r="B22" s="333"/>
      <c r="C22" s="333"/>
      <c r="D22" s="210"/>
      <c r="E22" s="216"/>
      <c r="F22" s="193"/>
      <c r="G22" s="212"/>
      <c r="H22" s="215"/>
      <c r="J22" s="435"/>
      <c r="K22" s="436"/>
      <c r="M22" s="187"/>
    </row>
    <row r="23" spans="1:14" ht="18" customHeight="1" thickBot="1">
      <c r="A23" s="165">
        <v>6</v>
      </c>
      <c r="B23" s="336"/>
      <c r="C23" s="336"/>
      <c r="D23" s="217"/>
      <c r="E23" s="218"/>
      <c r="F23" s="219"/>
      <c r="G23" s="217"/>
      <c r="H23" s="220"/>
      <c r="J23" s="672"/>
      <c r="K23" s="673"/>
      <c r="L23" s="191"/>
      <c r="M23" s="192"/>
    </row>
    <row r="24" spans="1:14" ht="18" customHeight="1">
      <c r="A24" s="107"/>
      <c r="B24" s="93"/>
      <c r="C24" s="93"/>
      <c r="D24" s="94"/>
      <c r="E24" s="309"/>
      <c r="F24" s="233"/>
      <c r="G24" s="94"/>
      <c r="H24" s="94"/>
      <c r="J24" s="348" t="s">
        <v>369</v>
      </c>
      <c r="K24" s="349"/>
      <c r="L24" s="349"/>
      <c r="M24" s="350"/>
    </row>
    <row r="25" spans="1:14" ht="18" customHeight="1">
      <c r="A25" s="107"/>
      <c r="B25" s="93"/>
      <c r="C25" s="93"/>
      <c r="D25" s="94"/>
      <c r="E25" s="309"/>
      <c r="F25" s="233"/>
      <c r="G25" s="94"/>
      <c r="H25" s="94"/>
      <c r="J25" s="643" t="s">
        <v>137</v>
      </c>
      <c r="K25" s="644"/>
      <c r="L25" s="644" t="s">
        <v>138</v>
      </c>
      <c r="M25" s="645"/>
    </row>
    <row r="26" spans="1:14" ht="18" customHeight="1">
      <c r="A26" s="107"/>
      <c r="B26" s="93"/>
      <c r="C26" s="93"/>
      <c r="D26" s="94"/>
      <c r="E26" s="309"/>
      <c r="F26" s="233"/>
      <c r="G26" s="94"/>
      <c r="H26" s="94"/>
      <c r="J26" s="435"/>
      <c r="K26" s="436"/>
      <c r="M26" s="187"/>
    </row>
    <row r="27" spans="1:14" ht="18" customHeight="1" thickBot="1">
      <c r="B27" s="111"/>
      <c r="C27" s="94"/>
      <c r="D27" s="339"/>
      <c r="E27" s="339"/>
      <c r="F27" s="197"/>
      <c r="G27" s="402"/>
      <c r="H27" s="402"/>
      <c r="J27" s="672"/>
      <c r="K27" s="673"/>
      <c r="L27" s="191"/>
      <c r="M27" s="192"/>
    </row>
    <row r="28" spans="1:14" ht="18" customHeight="1">
      <c r="A28" s="348" t="s">
        <v>32</v>
      </c>
      <c r="B28" s="349" t="s">
        <v>195</v>
      </c>
      <c r="C28" s="349"/>
      <c r="D28" s="352" t="s">
        <v>196</v>
      </c>
      <c r="E28" s="601" t="s">
        <v>197</v>
      </c>
      <c r="F28" s="601"/>
      <c r="G28" s="349" t="s">
        <v>35</v>
      </c>
      <c r="H28" s="350" t="s">
        <v>138</v>
      </c>
      <c r="J28" s="198" t="s">
        <v>32</v>
      </c>
      <c r="K28" s="103" t="s">
        <v>147</v>
      </c>
      <c r="L28" s="199" t="s">
        <v>193</v>
      </c>
      <c r="M28" s="200" t="s">
        <v>194</v>
      </c>
      <c r="N28" s="201"/>
    </row>
    <row r="29" spans="1:14" ht="18" customHeight="1">
      <c r="A29" s="643"/>
      <c r="B29" s="644"/>
      <c r="C29" s="644"/>
      <c r="D29" s="355"/>
      <c r="E29" s="184" t="s">
        <v>202</v>
      </c>
      <c r="F29" s="184" t="s">
        <v>202</v>
      </c>
      <c r="G29" s="644"/>
      <c r="H29" s="645"/>
      <c r="J29" s="140">
        <v>1</v>
      </c>
      <c r="K29" s="114"/>
      <c r="L29" s="114"/>
      <c r="M29" s="115"/>
      <c r="N29" s="201"/>
    </row>
    <row r="30" spans="1:14" ht="19.95" customHeight="1">
      <c r="A30" s="140">
        <v>1</v>
      </c>
      <c r="B30" s="333" t="s">
        <v>320</v>
      </c>
      <c r="C30" s="333"/>
      <c r="D30" s="149" t="s">
        <v>378</v>
      </c>
      <c r="E30" s="148"/>
      <c r="F30" s="221"/>
      <c r="G30" s="114" t="s">
        <v>230</v>
      </c>
      <c r="H30" s="204"/>
      <c r="J30" s="140">
        <v>2</v>
      </c>
      <c r="K30" s="114"/>
      <c r="L30" s="114"/>
      <c r="M30" s="115"/>
      <c r="N30" s="202"/>
    </row>
    <row r="31" spans="1:14" ht="19.95" customHeight="1">
      <c r="A31" s="140">
        <v>2</v>
      </c>
      <c r="B31" s="333" t="s">
        <v>321</v>
      </c>
      <c r="C31" s="333"/>
      <c r="D31" s="149" t="s">
        <v>327</v>
      </c>
      <c r="E31" s="148"/>
      <c r="F31" s="221"/>
      <c r="G31" s="114" t="s">
        <v>255</v>
      </c>
      <c r="H31" s="204"/>
      <c r="J31" s="140">
        <v>3</v>
      </c>
      <c r="K31" s="114"/>
      <c r="L31" s="114"/>
      <c r="M31" s="115"/>
      <c r="N31" s="202"/>
    </row>
    <row r="32" spans="1:14" ht="19.95" customHeight="1">
      <c r="A32" s="140">
        <v>3</v>
      </c>
      <c r="B32" s="333" t="s">
        <v>322</v>
      </c>
      <c r="C32" s="333"/>
      <c r="D32" s="149" t="s">
        <v>379</v>
      </c>
      <c r="E32" s="148"/>
      <c r="F32" s="221"/>
      <c r="G32" s="114" t="s">
        <v>255</v>
      </c>
      <c r="H32" s="204"/>
      <c r="J32" s="140">
        <v>4</v>
      </c>
      <c r="K32" s="114"/>
      <c r="L32" s="114"/>
      <c r="M32" s="115"/>
      <c r="N32" s="202"/>
    </row>
    <row r="33" spans="1:15" ht="19.95" customHeight="1">
      <c r="A33" s="140">
        <v>4</v>
      </c>
      <c r="B33" s="333" t="s">
        <v>323</v>
      </c>
      <c r="C33" s="333"/>
      <c r="D33" s="149">
        <v>150</v>
      </c>
      <c r="E33" s="148"/>
      <c r="F33" s="221"/>
      <c r="G33" s="114" t="s">
        <v>255</v>
      </c>
      <c r="H33" s="204"/>
      <c r="J33" s="165">
        <v>5</v>
      </c>
      <c r="K33" s="116"/>
      <c r="L33" s="116"/>
      <c r="M33" s="164"/>
      <c r="N33" s="202"/>
    </row>
    <row r="34" spans="1:15" ht="19.95" customHeight="1">
      <c r="A34" s="140">
        <v>5</v>
      </c>
      <c r="B34" s="333" t="s">
        <v>324</v>
      </c>
      <c r="C34" s="333"/>
      <c r="D34" s="149">
        <v>170</v>
      </c>
      <c r="E34" s="148"/>
      <c r="F34" s="221"/>
      <c r="G34" s="114" t="s">
        <v>255</v>
      </c>
      <c r="H34" s="204"/>
      <c r="J34" s="92"/>
      <c r="K34" s="112"/>
      <c r="L34" s="92"/>
      <c r="M34" s="92"/>
      <c r="N34" s="201"/>
    </row>
    <row r="35" spans="1:15" ht="19.95" customHeight="1">
      <c r="A35" s="140">
        <v>6</v>
      </c>
      <c r="B35" s="333" t="s">
        <v>325</v>
      </c>
      <c r="C35" s="333"/>
      <c r="D35" s="149">
        <v>170</v>
      </c>
      <c r="E35" s="148"/>
      <c r="F35" s="221"/>
      <c r="G35" s="114" t="s">
        <v>255</v>
      </c>
      <c r="H35" s="204"/>
      <c r="J35" s="348" t="s">
        <v>198</v>
      </c>
      <c r="K35" s="352" t="s">
        <v>199</v>
      </c>
      <c r="L35" s="349" t="s">
        <v>200</v>
      </c>
      <c r="M35" s="350" t="s">
        <v>201</v>
      </c>
      <c r="N35" s="202"/>
    </row>
    <row r="36" spans="1:15" ht="19.95" customHeight="1">
      <c r="A36" s="140">
        <v>7</v>
      </c>
      <c r="B36" s="333" t="s">
        <v>277</v>
      </c>
      <c r="C36" s="333"/>
      <c r="D36" s="222" t="s">
        <v>288</v>
      </c>
      <c r="E36" s="148"/>
      <c r="F36" s="221"/>
      <c r="G36" s="114" t="s">
        <v>207</v>
      </c>
      <c r="H36" s="204"/>
      <c r="J36" s="643"/>
      <c r="K36" s="355"/>
      <c r="L36" s="644"/>
      <c r="M36" s="645"/>
      <c r="N36" s="202"/>
    </row>
    <row r="37" spans="1:15" ht="19.95" customHeight="1">
      <c r="A37" s="140">
        <v>8</v>
      </c>
      <c r="B37" s="333" t="s">
        <v>326</v>
      </c>
      <c r="C37" s="333"/>
      <c r="D37" s="222" t="s">
        <v>327</v>
      </c>
      <c r="E37" s="148"/>
      <c r="F37" s="221"/>
      <c r="G37" s="114" t="s">
        <v>207</v>
      </c>
      <c r="H37" s="204"/>
      <c r="J37" s="370"/>
      <c r="K37" s="371"/>
      <c r="L37" s="371"/>
      <c r="M37" s="646"/>
      <c r="N37" s="202"/>
    </row>
    <row r="38" spans="1:15" ht="19.95" customHeight="1">
      <c r="A38" s="140">
        <v>9</v>
      </c>
      <c r="B38" s="639"/>
      <c r="C38" s="639"/>
      <c r="D38" s="148"/>
      <c r="E38" s="148"/>
      <c r="F38" s="221"/>
      <c r="G38" s="104"/>
      <c r="H38" s="204"/>
      <c r="J38" s="370"/>
      <c r="K38" s="371"/>
      <c r="L38" s="371"/>
      <c r="M38" s="646"/>
      <c r="N38" s="202"/>
      <c r="O38" s="91">
        <f>52*112*2*0.91</f>
        <v>10599.68</v>
      </c>
    </row>
    <row r="39" spans="1:15" ht="19.95" customHeight="1">
      <c r="A39" s="165">
        <v>10</v>
      </c>
      <c r="B39" s="641"/>
      <c r="C39" s="641"/>
      <c r="D39" s="194"/>
      <c r="E39" s="194"/>
      <c r="F39" s="223"/>
      <c r="G39" s="105"/>
      <c r="H39" s="117"/>
      <c r="J39" s="370"/>
      <c r="K39" s="371"/>
      <c r="L39" s="371"/>
      <c r="M39" s="646"/>
      <c r="N39" s="202"/>
      <c r="O39" s="91">
        <f>40*10000/O38</f>
        <v>37.736988286438837</v>
      </c>
    </row>
    <row r="40" spans="1:15" ht="19.95" customHeight="1">
      <c r="B40" s="339"/>
      <c r="C40" s="339"/>
      <c r="D40" s="111"/>
      <c r="E40" s="111"/>
      <c r="F40" s="224"/>
      <c r="J40" s="370"/>
      <c r="K40" s="371"/>
      <c r="L40" s="371"/>
      <c r="M40" s="646"/>
      <c r="N40" s="202"/>
    </row>
    <row r="41" spans="1:15" ht="19.95" customHeight="1">
      <c r="A41" s="348" t="s">
        <v>32</v>
      </c>
      <c r="B41" s="349" t="s">
        <v>195</v>
      </c>
      <c r="C41" s="349"/>
      <c r="D41" s="352" t="s">
        <v>196</v>
      </c>
      <c r="E41" s="601" t="s">
        <v>197</v>
      </c>
      <c r="F41" s="601"/>
      <c r="G41" s="349" t="s">
        <v>35</v>
      </c>
      <c r="H41" s="350" t="s">
        <v>138</v>
      </c>
      <c r="J41" s="370"/>
      <c r="K41" s="371"/>
      <c r="L41" s="371"/>
      <c r="M41" s="646"/>
      <c r="N41" s="202"/>
    </row>
    <row r="42" spans="1:15" ht="19.95" customHeight="1">
      <c r="A42" s="643"/>
      <c r="B42" s="644"/>
      <c r="C42" s="644"/>
      <c r="D42" s="355"/>
      <c r="E42" s="184" t="s">
        <v>202</v>
      </c>
      <c r="F42" s="184" t="s">
        <v>202</v>
      </c>
      <c r="G42" s="644"/>
      <c r="H42" s="645"/>
      <c r="J42" s="370"/>
      <c r="K42" s="371"/>
      <c r="L42" s="371"/>
      <c r="M42" s="646"/>
      <c r="N42" s="202"/>
    </row>
    <row r="43" spans="1:15" ht="19.95" customHeight="1">
      <c r="A43" s="140">
        <v>1</v>
      </c>
      <c r="B43" s="733" t="s">
        <v>306</v>
      </c>
      <c r="C43" s="446"/>
      <c r="D43" s="222" t="s">
        <v>328</v>
      </c>
      <c r="E43" s="113"/>
      <c r="F43" s="113"/>
      <c r="G43" s="114" t="s">
        <v>140</v>
      </c>
      <c r="H43" s="225"/>
      <c r="J43" s="643"/>
      <c r="K43" s="644"/>
      <c r="L43" s="644"/>
      <c r="M43" s="645"/>
      <c r="N43" s="202"/>
    </row>
    <row r="44" spans="1:15" ht="19.95" customHeight="1">
      <c r="A44" s="140">
        <v>2</v>
      </c>
      <c r="B44" s="733" t="s">
        <v>305</v>
      </c>
      <c r="C44" s="446"/>
      <c r="D44" s="222" t="s">
        <v>329</v>
      </c>
      <c r="E44" s="113"/>
      <c r="F44" s="113"/>
      <c r="G44" s="114" t="s">
        <v>140</v>
      </c>
      <c r="H44" s="225"/>
      <c r="J44" s="643"/>
      <c r="K44" s="644"/>
      <c r="L44" s="644"/>
      <c r="M44" s="645"/>
      <c r="N44" s="202"/>
    </row>
    <row r="45" spans="1:15" ht="19.95" customHeight="1">
      <c r="A45" s="140">
        <v>3</v>
      </c>
      <c r="B45" s="733" t="s">
        <v>330</v>
      </c>
      <c r="C45" s="446"/>
      <c r="D45" s="222" t="s">
        <v>331</v>
      </c>
      <c r="E45" s="113"/>
      <c r="F45" s="113"/>
      <c r="G45" s="114" t="s">
        <v>140</v>
      </c>
      <c r="H45" s="225"/>
      <c r="J45" s="643"/>
      <c r="K45" s="644"/>
      <c r="L45" s="644"/>
      <c r="M45" s="645"/>
      <c r="N45" s="202"/>
    </row>
    <row r="46" spans="1:15" ht="19.95" customHeight="1">
      <c r="A46" s="140">
        <v>4</v>
      </c>
      <c r="B46" s="733" t="s">
        <v>332</v>
      </c>
      <c r="C46" s="446"/>
      <c r="D46" s="222" t="s">
        <v>382</v>
      </c>
      <c r="E46" s="113"/>
      <c r="F46" s="113"/>
      <c r="G46" s="114" t="s">
        <v>333</v>
      </c>
      <c r="H46" s="225"/>
      <c r="J46" s="723"/>
      <c r="K46" s="659"/>
      <c r="L46" s="659"/>
      <c r="M46" s="429"/>
      <c r="N46" s="202"/>
    </row>
    <row r="47" spans="1:15" ht="19.95" customHeight="1">
      <c r="A47" s="140">
        <v>5</v>
      </c>
      <c r="B47" s="733" t="s">
        <v>334</v>
      </c>
      <c r="C47" s="446"/>
      <c r="D47" s="222" t="s">
        <v>335</v>
      </c>
      <c r="E47" s="113"/>
      <c r="F47" s="113"/>
      <c r="G47" s="114" t="s">
        <v>336</v>
      </c>
      <c r="H47" s="225"/>
      <c r="J47" s="92"/>
      <c r="K47" s="92"/>
      <c r="L47" s="92"/>
      <c r="M47" s="92"/>
      <c r="N47" s="202"/>
    </row>
    <row r="48" spans="1:15" ht="19.95" customHeight="1">
      <c r="A48" s="464">
        <v>6</v>
      </c>
      <c r="B48" s="760" t="s">
        <v>218</v>
      </c>
      <c r="C48" s="761"/>
      <c r="D48" s="458" t="s">
        <v>337</v>
      </c>
      <c r="E48" s="406"/>
      <c r="F48" s="406"/>
      <c r="G48" s="418"/>
      <c r="H48" s="908"/>
      <c r="J48" s="348" t="s">
        <v>149</v>
      </c>
      <c r="K48" s="349"/>
      <c r="L48" s="349"/>
      <c r="M48" s="350"/>
      <c r="N48" s="202"/>
    </row>
    <row r="49" spans="1:14" ht="19.95" customHeight="1">
      <c r="A49" s="748"/>
      <c r="B49" s="762"/>
      <c r="C49" s="763"/>
      <c r="D49" s="410"/>
      <c r="E49" s="911"/>
      <c r="F49" s="911"/>
      <c r="G49" s="419"/>
      <c r="H49" s="909"/>
      <c r="J49" s="612"/>
      <c r="K49" s="578"/>
      <c r="L49" s="578"/>
      <c r="M49" s="649"/>
      <c r="N49" s="202"/>
    </row>
    <row r="50" spans="1:14" ht="19.95" customHeight="1">
      <c r="A50" s="182"/>
      <c r="B50" s="585"/>
      <c r="C50" s="628"/>
      <c r="D50" s="113"/>
      <c r="E50" s="113"/>
      <c r="F50" s="113"/>
      <c r="G50" s="97"/>
      <c r="H50" s="225"/>
      <c r="J50" s="734"/>
      <c r="K50" s="735"/>
      <c r="L50" s="735"/>
      <c r="M50" s="736"/>
      <c r="N50" s="202"/>
    </row>
    <row r="51" spans="1:14" ht="30.6" customHeight="1">
      <c r="A51" s="182"/>
      <c r="B51" s="585"/>
      <c r="C51" s="628"/>
      <c r="D51" s="113"/>
      <c r="E51" s="113"/>
      <c r="F51" s="113"/>
      <c r="G51" s="97"/>
      <c r="H51" s="225"/>
      <c r="J51" s="734"/>
      <c r="K51" s="735"/>
      <c r="L51" s="735"/>
      <c r="M51" s="736"/>
      <c r="N51" s="202"/>
    </row>
    <row r="52" spans="1:14" ht="19.95" customHeight="1">
      <c r="A52" s="182"/>
      <c r="B52" s="585"/>
      <c r="C52" s="628"/>
      <c r="D52" s="113"/>
      <c r="E52" s="113"/>
      <c r="F52" s="113"/>
      <c r="G52" s="97"/>
      <c r="H52" s="225"/>
      <c r="J52" s="734"/>
      <c r="K52" s="735"/>
      <c r="L52" s="735"/>
      <c r="M52" s="736"/>
      <c r="N52" s="202"/>
    </row>
    <row r="53" spans="1:14" ht="19.95" customHeight="1">
      <c r="A53" s="226"/>
      <c r="B53" s="417"/>
      <c r="C53" s="422"/>
      <c r="D53" s="227"/>
      <c r="E53" s="227"/>
      <c r="F53" s="227"/>
      <c r="G53" s="228"/>
      <c r="H53" s="229"/>
      <c r="J53" s="755"/>
      <c r="K53" s="756"/>
      <c r="L53" s="756"/>
      <c r="M53" s="757"/>
      <c r="N53" s="202"/>
    </row>
    <row r="54" spans="1:14" ht="18" customHeight="1">
      <c r="B54" s="207"/>
      <c r="C54" s="208"/>
      <c r="D54" s="208"/>
      <c r="E54" s="208"/>
      <c r="F54" s="208"/>
      <c r="G54" s="208"/>
      <c r="H54" s="208"/>
      <c r="N54" s="202"/>
    </row>
    <row r="55" spans="1:14" ht="18" customHeight="1">
      <c r="A55" s="711" t="s">
        <v>174</v>
      </c>
      <c r="B55" s="596"/>
      <c r="C55" s="596"/>
      <c r="D55" s="597"/>
      <c r="E55" s="605" t="s">
        <v>338</v>
      </c>
      <c r="F55" s="596"/>
      <c r="G55" s="596"/>
      <c r="H55" s="606"/>
      <c r="I55" s="107"/>
      <c r="J55" s="351" t="s">
        <v>367</v>
      </c>
      <c r="K55" s="352"/>
      <c r="L55" s="352" t="s">
        <v>368</v>
      </c>
      <c r="M55" s="353"/>
    </row>
    <row r="56" spans="1:14" ht="18" customHeight="1">
      <c r="A56" s="598"/>
      <c r="B56" s="599"/>
      <c r="C56" s="599"/>
      <c r="D56" s="600"/>
      <c r="E56" s="607"/>
      <c r="F56" s="599"/>
      <c r="G56" s="599"/>
      <c r="H56" s="608"/>
      <c r="J56" s="354"/>
      <c r="K56" s="355"/>
      <c r="L56" s="355"/>
      <c r="M56" s="356"/>
    </row>
    <row r="57" spans="1:14" ht="18" customHeight="1">
      <c r="A57" s="370"/>
      <c r="B57" s="371"/>
      <c r="C57" s="371"/>
      <c r="D57" s="371"/>
      <c r="E57" s="371"/>
      <c r="F57" s="371"/>
      <c r="G57" s="371"/>
      <c r="H57" s="646"/>
      <c r="J57" s="354"/>
      <c r="K57" s="355"/>
      <c r="L57" s="355"/>
      <c r="M57" s="356"/>
    </row>
    <row r="58" spans="1:14" ht="18" customHeight="1">
      <c r="A58" s="370"/>
      <c r="B58" s="371"/>
      <c r="C58" s="371"/>
      <c r="D58" s="371"/>
      <c r="E58" s="371"/>
      <c r="F58" s="371"/>
      <c r="G58" s="371"/>
      <c r="H58" s="646"/>
      <c r="J58" s="354"/>
      <c r="K58" s="355"/>
      <c r="L58" s="355"/>
      <c r="M58" s="356"/>
    </row>
    <row r="59" spans="1:14" ht="18" customHeight="1">
      <c r="A59" s="405"/>
      <c r="B59" s="439"/>
      <c r="C59" s="439"/>
      <c r="D59" s="439"/>
      <c r="E59" s="439"/>
      <c r="F59" s="439"/>
      <c r="G59" s="439"/>
      <c r="H59" s="658"/>
      <c r="J59" s="357"/>
      <c r="K59" s="358"/>
      <c r="L59" s="358"/>
      <c r="M59" s="359"/>
    </row>
    <row r="62" spans="1:14">
      <c r="D62" s="402"/>
      <c r="E62" s="402"/>
      <c r="F62" s="402"/>
      <c r="G62" s="402"/>
    </row>
    <row r="63" spans="1:14">
      <c r="B63" s="338"/>
      <c r="C63" s="338"/>
      <c r="D63" s="624"/>
      <c r="E63" s="624"/>
      <c r="F63" s="624"/>
      <c r="G63" s="624"/>
    </row>
    <row r="64" spans="1:14">
      <c r="B64" s="338"/>
      <c r="C64" s="338"/>
      <c r="D64" s="624"/>
      <c r="E64" s="624"/>
      <c r="F64" s="625"/>
      <c r="G64" s="625"/>
    </row>
    <row r="65" spans="2:7">
      <c r="B65" s="338"/>
      <c r="C65" s="338"/>
      <c r="D65" s="624"/>
      <c r="E65" s="624"/>
      <c r="F65" s="626"/>
      <c r="G65" s="626"/>
    </row>
    <row r="66" spans="2:7">
      <c r="B66" s="338"/>
      <c r="C66" s="338"/>
      <c r="D66" s="624"/>
      <c r="E66" s="624"/>
      <c r="F66" s="624"/>
      <c r="G66" s="624"/>
    </row>
    <row r="67" spans="2:7">
      <c r="B67" s="338"/>
      <c r="C67" s="338"/>
      <c r="D67" s="624"/>
      <c r="E67" s="624"/>
      <c r="F67" s="624"/>
      <c r="G67" s="624"/>
    </row>
    <row r="68" spans="2:7">
      <c r="B68" s="338"/>
      <c r="C68" s="338"/>
      <c r="D68" s="624"/>
      <c r="E68" s="624"/>
      <c r="F68" s="626"/>
      <c r="G68" s="626"/>
    </row>
    <row r="69" spans="2:7">
      <c r="B69" s="338"/>
      <c r="C69" s="338"/>
      <c r="D69" s="624"/>
      <c r="E69" s="624"/>
      <c r="F69" s="626"/>
      <c r="G69" s="626"/>
    </row>
    <row r="70" spans="2:7">
      <c r="B70" s="338"/>
      <c r="C70" s="338"/>
      <c r="D70" s="624"/>
      <c r="E70" s="624"/>
      <c r="F70" s="626"/>
      <c r="G70" s="626"/>
    </row>
    <row r="71" spans="2:7">
      <c r="B71" s="338"/>
      <c r="C71" s="338"/>
      <c r="D71" s="624"/>
      <c r="E71" s="624"/>
      <c r="F71" s="632"/>
      <c r="G71" s="632"/>
    </row>
  </sheetData>
  <mergeCells count="157">
    <mergeCell ref="L55:M56"/>
    <mergeCell ref="G41:G42"/>
    <mergeCell ref="G48:G49"/>
    <mergeCell ref="J48:M48"/>
    <mergeCell ref="J49:M49"/>
    <mergeCell ref="J24:M24"/>
    <mergeCell ref="J25:K25"/>
    <mergeCell ref="L25:M25"/>
    <mergeCell ref="J26:K27"/>
    <mergeCell ref="J35:J36"/>
    <mergeCell ref="J37:J38"/>
    <mergeCell ref="J39:J40"/>
    <mergeCell ref="J41:J42"/>
    <mergeCell ref="J43:J44"/>
    <mergeCell ref="J45:J46"/>
    <mergeCell ref="M35:M36"/>
    <mergeCell ref="M37:M38"/>
    <mergeCell ref="M39:M40"/>
    <mergeCell ref="K35:K36"/>
    <mergeCell ref="K37:K38"/>
    <mergeCell ref="K39:K40"/>
    <mergeCell ref="L35:L36"/>
    <mergeCell ref="L37:L38"/>
    <mergeCell ref="L39:L40"/>
    <mergeCell ref="J57:K59"/>
    <mergeCell ref="L57:M59"/>
    <mergeCell ref="B41:C42"/>
    <mergeCell ref="B48:C49"/>
    <mergeCell ref="B50:C50"/>
    <mergeCell ref="J50:M50"/>
    <mergeCell ref="B51:C51"/>
    <mergeCell ref="J51:M51"/>
    <mergeCell ref="B52:C52"/>
    <mergeCell ref="J52:M52"/>
    <mergeCell ref="B53:C53"/>
    <mergeCell ref="J53:M53"/>
    <mergeCell ref="F48:F49"/>
    <mergeCell ref="K45:K46"/>
    <mergeCell ref="L45:L46"/>
    <mergeCell ref="A55:D56"/>
    <mergeCell ref="E55:H56"/>
    <mergeCell ref="J55:K56"/>
    <mergeCell ref="M41:M42"/>
    <mergeCell ref="M43:M44"/>
    <mergeCell ref="M45:M46"/>
    <mergeCell ref="K41:K42"/>
    <mergeCell ref="K43:K44"/>
    <mergeCell ref="L41:L42"/>
    <mergeCell ref="L43:L44"/>
    <mergeCell ref="D20:D21"/>
    <mergeCell ref="D28:D29"/>
    <mergeCell ref="D41:D42"/>
    <mergeCell ref="D48:D49"/>
    <mergeCell ref="E20:E21"/>
    <mergeCell ref="E48:E49"/>
    <mergeCell ref="B38:C38"/>
    <mergeCell ref="B39:C39"/>
    <mergeCell ref="B40:C40"/>
    <mergeCell ref="E41:F41"/>
    <mergeCell ref="B43:C43"/>
    <mergeCell ref="B44:C44"/>
    <mergeCell ref="B45:C45"/>
    <mergeCell ref="B46:C46"/>
    <mergeCell ref="B47:C47"/>
    <mergeCell ref="E28:F28"/>
    <mergeCell ref="B30:C30"/>
    <mergeCell ref="B31:C31"/>
    <mergeCell ref="B35:C35"/>
    <mergeCell ref="B36:C36"/>
    <mergeCell ref="B37:C37"/>
    <mergeCell ref="H28:H29"/>
    <mergeCell ref="H41:H42"/>
    <mergeCell ref="B69:C69"/>
    <mergeCell ref="D69:E69"/>
    <mergeCell ref="F69:G69"/>
    <mergeCell ref="B70:C70"/>
    <mergeCell ref="D70:E70"/>
    <mergeCell ref="F70:G70"/>
    <mergeCell ref="B71:C71"/>
    <mergeCell ref="D71:E71"/>
    <mergeCell ref="F71:G71"/>
    <mergeCell ref="B66:C66"/>
    <mergeCell ref="D66:E66"/>
    <mergeCell ref="F66:G66"/>
    <mergeCell ref="B67:C67"/>
    <mergeCell ref="D67:E67"/>
    <mergeCell ref="F67:G67"/>
    <mergeCell ref="B68:C68"/>
    <mergeCell ref="D68:E68"/>
    <mergeCell ref="F68:G68"/>
    <mergeCell ref="H48:H49"/>
    <mergeCell ref="A57:D59"/>
    <mergeCell ref="E57:H59"/>
    <mergeCell ref="G28:G29"/>
    <mergeCell ref="B65:C65"/>
    <mergeCell ref="D65:E65"/>
    <mergeCell ref="F65:G65"/>
    <mergeCell ref="A28:A29"/>
    <mergeCell ref="A41:A42"/>
    <mergeCell ref="A48:A49"/>
    <mergeCell ref="D62:E62"/>
    <mergeCell ref="F62:G62"/>
    <mergeCell ref="B63:C63"/>
    <mergeCell ref="D63:E63"/>
    <mergeCell ref="F63:G63"/>
    <mergeCell ref="B64:C64"/>
    <mergeCell ref="D64:E64"/>
    <mergeCell ref="F64:G64"/>
    <mergeCell ref="B32:C32"/>
    <mergeCell ref="B33:C33"/>
    <mergeCell ref="B34:C34"/>
    <mergeCell ref="J17:K18"/>
    <mergeCell ref="J22:K23"/>
    <mergeCell ref="B28:C29"/>
    <mergeCell ref="B20:C21"/>
    <mergeCell ref="A13:B13"/>
    <mergeCell ref="C13:G13"/>
    <mergeCell ref="H13:M13"/>
    <mergeCell ref="A15:H15"/>
    <mergeCell ref="J15:M15"/>
    <mergeCell ref="A16:C16"/>
    <mergeCell ref="D16:E16"/>
    <mergeCell ref="F16:H16"/>
    <mergeCell ref="J16:K16"/>
    <mergeCell ref="L16:M16"/>
    <mergeCell ref="B17:C17"/>
    <mergeCell ref="B18:C18"/>
    <mergeCell ref="B19:C19"/>
    <mergeCell ref="J20:M20"/>
    <mergeCell ref="J21:K21"/>
    <mergeCell ref="L21:M21"/>
    <mergeCell ref="B22:C22"/>
    <mergeCell ref="B23:C23"/>
    <mergeCell ref="D27:E27"/>
    <mergeCell ref="G27:H27"/>
    <mergeCell ref="A8:B8"/>
    <mergeCell ref="C8:H8"/>
    <mergeCell ref="A10:B10"/>
    <mergeCell ref="C10:G10"/>
    <mergeCell ref="H10:M10"/>
    <mergeCell ref="A11:B11"/>
    <mergeCell ref="C11:G11"/>
    <mergeCell ref="H11:M11"/>
    <mergeCell ref="A12:B12"/>
    <mergeCell ref="C12:G12"/>
    <mergeCell ref="H12:M12"/>
    <mergeCell ref="K1:M1"/>
    <mergeCell ref="K2:M2"/>
    <mergeCell ref="K3:M3"/>
    <mergeCell ref="A5:B5"/>
    <mergeCell ref="C5:H5"/>
    <mergeCell ref="A6:B6"/>
    <mergeCell ref="C6:H6"/>
    <mergeCell ref="A7:B7"/>
    <mergeCell ref="C7:H7"/>
    <mergeCell ref="A1:B3"/>
    <mergeCell ref="C1:J3"/>
  </mergeCells>
  <conditionalFormatting sqref="C27">
    <cfRule type="duplicateValues" dxfId="29" priority="1" stopIfTrue="1"/>
    <cfRule type="duplicateValues" dxfId="28" priority="2" stopIfTrue="1"/>
    <cfRule type="duplicateValues" dxfId="27" priority="3" stopIfTrue="1"/>
    <cfRule type="duplicateValues" dxfId="26" priority="4" stopIfTrue="1"/>
    <cfRule type="duplicateValues" dxfId="25" priority="5" stopIfTrue="1"/>
    <cfRule type="duplicateValues" dxfId="24" priority="6" stopIfTrue="1"/>
  </conditionalFormatting>
  <printOptions horizontalCentered="1"/>
  <pageMargins left="0.23622047244094499" right="0.23622047244094499" top="0.74803149606299202" bottom="0.74803149606299202" header="0.31496062992126" footer="0.31496062992126"/>
  <pageSetup paperSize="9" scale="64" orientation="portrait" horizontalDpi="300" verticalDpi="300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B0F0"/>
    <pageSetUpPr fitToPage="1"/>
  </sheetPr>
  <dimension ref="A1:X72"/>
  <sheetViews>
    <sheetView showGridLines="0" view="pageBreakPreview" topLeftCell="A28" zoomScale="85" zoomScaleNormal="100" zoomScaleSheetLayoutView="85" zoomScalePageLayoutView="85" workbookViewId="0">
      <selection activeCell="D34" sqref="D34"/>
    </sheetView>
  </sheetViews>
  <sheetFormatPr defaultColWidth="8.88671875" defaultRowHeight="13.8"/>
  <cols>
    <col min="1" max="1" width="4" style="91" customWidth="1"/>
    <col min="2" max="2" width="19" style="91" customWidth="1"/>
    <col min="3" max="3" width="6.6640625" style="91" customWidth="1"/>
    <col min="4" max="4" width="24.33203125" style="91" customWidth="1"/>
    <col min="5" max="6" width="10.44140625" style="91" customWidth="1"/>
    <col min="7" max="8" width="10.33203125" style="91" customWidth="1"/>
    <col min="9" max="9" width="1.77734375" style="91" customWidth="1"/>
    <col min="10" max="10" width="11.5546875" style="91" customWidth="1"/>
    <col min="11" max="11" width="11.109375" style="91" customWidth="1"/>
    <col min="12" max="12" width="9.88671875" style="91" customWidth="1"/>
    <col min="13" max="13" width="12.44140625" style="91" customWidth="1"/>
    <col min="14" max="14" width="8.88671875" style="91"/>
    <col min="15" max="15" width="9.88671875" style="91" customWidth="1"/>
    <col min="16" max="16" width="50.6640625" style="91" customWidth="1"/>
    <col min="17" max="17" width="35.5546875" style="91" customWidth="1"/>
    <col min="18" max="16384" width="8.88671875" style="91"/>
  </cols>
  <sheetData>
    <row r="1" spans="1:24" ht="19.05" customHeight="1">
      <c r="A1" s="705"/>
      <c r="B1" s="706"/>
      <c r="C1" s="711" t="s">
        <v>178</v>
      </c>
      <c r="D1" s="712"/>
      <c r="E1" s="712"/>
      <c r="F1" s="712"/>
      <c r="G1" s="712"/>
      <c r="H1" s="712"/>
      <c r="I1" s="712"/>
      <c r="J1" s="713"/>
      <c r="K1" s="342" t="s">
        <v>179</v>
      </c>
      <c r="L1" s="343"/>
      <c r="M1" s="344"/>
    </row>
    <row r="2" spans="1:24" ht="19.05" customHeight="1">
      <c r="A2" s="707"/>
      <c r="B2" s="708"/>
      <c r="C2" s="714"/>
      <c r="D2" s="581"/>
      <c r="E2" s="581"/>
      <c r="F2" s="581"/>
      <c r="G2" s="581"/>
      <c r="H2" s="581"/>
      <c r="I2" s="581"/>
      <c r="J2" s="620"/>
      <c r="K2" s="374" t="s">
        <v>114</v>
      </c>
      <c r="L2" s="375"/>
      <c r="M2" s="376"/>
    </row>
    <row r="3" spans="1:24" ht="19.05" customHeight="1">
      <c r="A3" s="709"/>
      <c r="B3" s="710"/>
      <c r="C3" s="715"/>
      <c r="D3" s="716"/>
      <c r="E3" s="716"/>
      <c r="F3" s="716"/>
      <c r="G3" s="716"/>
      <c r="H3" s="716"/>
      <c r="I3" s="716"/>
      <c r="J3" s="717"/>
      <c r="K3" s="381" t="s">
        <v>165</v>
      </c>
      <c r="L3" s="382"/>
      <c r="M3" s="383"/>
      <c r="P3" s="94"/>
      <c r="Q3" s="94"/>
    </row>
    <row r="4" spans="1:24" ht="15" customHeight="1">
      <c r="A4" s="107"/>
      <c r="C4" s="178"/>
      <c r="P4" s="94"/>
      <c r="Q4" s="94"/>
    </row>
    <row r="5" spans="1:24" ht="15" customHeight="1">
      <c r="A5" s="576" t="s">
        <v>116</v>
      </c>
      <c r="B5" s="576"/>
      <c r="C5" s="575" t="str">
        <f>'In 2'!C5</f>
        <v>26BA2HKH00563000029</v>
      </c>
      <c r="D5" s="575"/>
      <c r="E5" s="575"/>
      <c r="F5" s="575"/>
      <c r="G5" s="575"/>
      <c r="H5" s="575"/>
      <c r="I5" s="92" t="s">
        <v>3</v>
      </c>
      <c r="J5" s="92"/>
      <c r="K5" s="179" t="str">
        <f>'In 2'!K5</f>
        <v>SX2607045</v>
      </c>
      <c r="P5" s="94"/>
      <c r="Q5" s="94"/>
      <c r="U5" s="91" t="s">
        <v>180</v>
      </c>
      <c r="V5" s="91" t="s">
        <v>181</v>
      </c>
      <c r="W5" s="91" t="s">
        <v>182</v>
      </c>
      <c r="X5" s="91" t="s">
        <v>183</v>
      </c>
    </row>
    <row r="6" spans="1:24" ht="15" customHeight="1">
      <c r="A6" s="577" t="s">
        <v>117</v>
      </c>
      <c r="B6" s="577"/>
      <c r="C6" s="338" t="str">
        <f>'In 2'!C6</f>
        <v>BT1KH00563KP0004</v>
      </c>
      <c r="D6" s="338"/>
      <c r="E6" s="338"/>
      <c r="F6" s="338"/>
      <c r="G6" s="338"/>
      <c r="H6" s="338"/>
      <c r="I6" s="92" t="s">
        <v>184</v>
      </c>
      <c r="J6" s="92"/>
      <c r="K6" s="94" t="s">
        <v>105</v>
      </c>
      <c r="P6" s="94"/>
      <c r="Q6" s="94"/>
    </row>
    <row r="7" spans="1:24" ht="15" customHeight="1">
      <c r="A7" s="577" t="s">
        <v>120</v>
      </c>
      <c r="B7" s="577"/>
      <c r="C7" s="338" t="str">
        <f>'In 2'!C7</f>
        <v>Bao giấy 25kg AM-20 Tân Châu</v>
      </c>
      <c r="D7" s="338"/>
      <c r="E7" s="338"/>
      <c r="F7" s="338"/>
      <c r="G7" s="338"/>
      <c r="H7" s="338"/>
      <c r="I7" s="180" t="s">
        <v>121</v>
      </c>
      <c r="J7" s="180"/>
      <c r="K7" s="181" t="s">
        <v>387</v>
      </c>
      <c r="P7" s="94"/>
      <c r="Q7" s="94"/>
    </row>
    <row r="8" spans="1:24" ht="31.8" customHeight="1">
      <c r="A8" s="577" t="s">
        <v>123</v>
      </c>
      <c r="B8" s="577"/>
      <c r="C8" s="575" t="str">
        <f>'In 2'!C8</f>
        <v xml:space="preserve">NHÀ MÁY SX TINH BỘT SẮN TÂN CHÂU-CN CÔNG TY CPNS THỰC PHẨM QUẢNG NGÃI					</v>
      </c>
      <c r="D8" s="575"/>
      <c r="E8" s="575"/>
      <c r="F8" s="575"/>
      <c r="G8" s="575"/>
      <c r="H8" s="575"/>
      <c r="I8" s="180" t="s">
        <v>124</v>
      </c>
      <c r="J8" s="180"/>
      <c r="K8" s="181" t="s">
        <v>387</v>
      </c>
      <c r="P8" s="94"/>
      <c r="Q8" s="94"/>
    </row>
    <row r="9" spans="1:24" ht="15" customHeight="1">
      <c r="A9" s="94"/>
      <c r="B9" s="94"/>
      <c r="C9" s="94"/>
      <c r="D9" s="94"/>
      <c r="E9" s="94"/>
      <c r="I9" s="94"/>
      <c r="K9" s="94"/>
      <c r="P9" s="94"/>
      <c r="Q9" s="94"/>
    </row>
    <row r="10" spans="1:24" ht="19.05" customHeight="1">
      <c r="A10" s="345"/>
      <c r="B10" s="346"/>
      <c r="C10" s="349" t="s">
        <v>125</v>
      </c>
      <c r="D10" s="349"/>
      <c r="E10" s="349"/>
      <c r="F10" s="349"/>
      <c r="G10" s="349"/>
      <c r="H10" s="349" t="s">
        <v>126</v>
      </c>
      <c r="I10" s="349"/>
      <c r="J10" s="349"/>
      <c r="K10" s="349"/>
      <c r="L10" s="349"/>
      <c r="M10" s="350"/>
      <c r="P10" s="94"/>
      <c r="Q10" s="94"/>
    </row>
    <row r="11" spans="1:24" ht="19.05" customHeight="1">
      <c r="A11" s="440" t="s">
        <v>127</v>
      </c>
      <c r="B11" s="441"/>
      <c r="C11" s="371" t="s">
        <v>358</v>
      </c>
      <c r="D11" s="371"/>
      <c r="E11" s="371"/>
      <c r="F11" s="371"/>
      <c r="G11" s="371"/>
      <c r="H11" s="371" t="s">
        <v>358</v>
      </c>
      <c r="I11" s="371"/>
      <c r="J11" s="371"/>
      <c r="K11" s="371"/>
      <c r="L11" s="371"/>
      <c r="M11" s="646"/>
      <c r="P11" s="94"/>
      <c r="Q11" s="94"/>
    </row>
    <row r="12" spans="1:24" ht="19.05" customHeight="1">
      <c r="A12" s="440" t="s">
        <v>129</v>
      </c>
      <c r="B12" s="441"/>
      <c r="C12" s="371" t="s">
        <v>130</v>
      </c>
      <c r="D12" s="371"/>
      <c r="E12" s="371"/>
      <c r="F12" s="371"/>
      <c r="G12" s="371"/>
      <c r="H12" s="371" t="s">
        <v>357</v>
      </c>
      <c r="I12" s="371"/>
      <c r="J12" s="371"/>
      <c r="K12" s="371"/>
      <c r="L12" s="371"/>
      <c r="M12" s="646"/>
      <c r="P12" s="94"/>
      <c r="Q12" s="94"/>
    </row>
    <row r="13" spans="1:24" ht="19.05" customHeight="1">
      <c r="A13" s="448" t="s">
        <v>132</v>
      </c>
      <c r="B13" s="449"/>
      <c r="C13" s="659"/>
      <c r="D13" s="659"/>
      <c r="E13" s="659"/>
      <c r="F13" s="659"/>
      <c r="G13" s="659"/>
      <c r="H13" s="659"/>
      <c r="I13" s="659"/>
      <c r="J13" s="659"/>
      <c r="K13" s="659"/>
      <c r="L13" s="659"/>
      <c r="M13" s="429"/>
      <c r="P13" s="94"/>
      <c r="Q13" s="94"/>
    </row>
    <row r="14" spans="1:24">
      <c r="P14" s="94"/>
      <c r="Q14" s="94"/>
    </row>
    <row r="15" spans="1:24" ht="24" customHeight="1">
      <c r="A15" s="871" t="s">
        <v>339</v>
      </c>
      <c r="B15" s="409"/>
      <c r="C15" s="409"/>
      <c r="D15" s="409"/>
      <c r="E15" s="409"/>
      <c r="F15" s="409"/>
      <c r="G15" s="409"/>
      <c r="H15" s="872"/>
      <c r="J15" s="348" t="s">
        <v>185</v>
      </c>
      <c r="K15" s="349"/>
      <c r="L15" s="349"/>
      <c r="M15" s="350"/>
      <c r="P15" s="94"/>
      <c r="Q15" s="94"/>
    </row>
    <row r="16" spans="1:24" ht="18" customHeight="1">
      <c r="A16" s="182" t="s">
        <v>340</v>
      </c>
      <c r="B16" s="97"/>
      <c r="C16" s="906">
        <f>In!M6</f>
        <v>5000</v>
      </c>
      <c r="D16" s="907"/>
      <c r="E16" s="907"/>
      <c r="F16" s="719" t="s">
        <v>341</v>
      </c>
      <c r="G16" s="719"/>
      <c r="H16" s="912"/>
      <c r="J16" s="643" t="s">
        <v>137</v>
      </c>
      <c r="K16" s="644"/>
      <c r="L16" s="644" t="s">
        <v>138</v>
      </c>
      <c r="M16" s="645"/>
      <c r="P16" s="93"/>
      <c r="Q16" s="93"/>
    </row>
    <row r="17" spans="1:18" ht="18" customHeight="1">
      <c r="A17" s="183" t="s">
        <v>32</v>
      </c>
      <c r="B17" s="184" t="s">
        <v>33</v>
      </c>
      <c r="C17" s="585" t="s">
        <v>34</v>
      </c>
      <c r="D17" s="628"/>
      <c r="E17" s="185" t="s">
        <v>6</v>
      </c>
      <c r="F17" s="185" t="s">
        <v>388</v>
      </c>
      <c r="G17" s="185" t="s">
        <v>189</v>
      </c>
      <c r="H17" s="186" t="s">
        <v>191</v>
      </c>
      <c r="J17" s="435"/>
      <c r="K17" s="436"/>
      <c r="M17" s="187"/>
      <c r="P17" s="94"/>
      <c r="Q17" s="94"/>
      <c r="R17" s="110"/>
    </row>
    <row r="18" spans="1:18" ht="18" customHeight="1" thickBot="1">
      <c r="A18" s="140">
        <v>1</v>
      </c>
      <c r="B18" s="148" t="str">
        <f>May!C17</f>
        <v>Chỉ may trắng</v>
      </c>
      <c r="C18" s="733" t="str">
        <f>May!D17</f>
        <v>VC10000000001</v>
      </c>
      <c r="D18" s="446"/>
      <c r="E18" s="314" t="s">
        <v>51</v>
      </c>
      <c r="F18" s="189">
        <f>May!G17</f>
        <v>4</v>
      </c>
      <c r="G18" s="190"/>
      <c r="H18" s="190"/>
      <c r="J18" s="672"/>
      <c r="K18" s="673"/>
      <c r="L18" s="191"/>
      <c r="M18" s="192"/>
      <c r="P18" s="94"/>
      <c r="Q18" s="93"/>
      <c r="R18" s="110"/>
    </row>
    <row r="19" spans="1:18" ht="18" customHeight="1" thickBot="1">
      <c r="A19" s="140">
        <v>2</v>
      </c>
      <c r="B19" s="458" t="str">
        <f>May!C19</f>
        <v>Túi PE rin 52x112cm 40gr, đáy dài</v>
      </c>
      <c r="C19" s="760" t="str">
        <f>May!D19</f>
        <v>TEB0400521121</v>
      </c>
      <c r="D19" s="761"/>
      <c r="E19" s="314" t="s">
        <v>51</v>
      </c>
      <c r="F19" s="189">
        <f>May!G19</f>
        <v>0</v>
      </c>
      <c r="G19" s="315"/>
      <c r="H19" s="115"/>
      <c r="P19" s="94"/>
      <c r="Q19" s="93"/>
      <c r="R19" s="110"/>
    </row>
    <row r="20" spans="1:18" ht="18" customHeight="1">
      <c r="A20" s="140">
        <v>3</v>
      </c>
      <c r="B20" s="410"/>
      <c r="C20" s="762"/>
      <c r="D20" s="763"/>
      <c r="E20" s="193" t="s">
        <v>76</v>
      </c>
      <c r="F20" s="189">
        <f>May!G20</f>
        <v>5000</v>
      </c>
      <c r="G20" s="315"/>
      <c r="H20" s="115"/>
      <c r="J20" s="348" t="s">
        <v>192</v>
      </c>
      <c r="K20" s="349"/>
      <c r="L20" s="349"/>
      <c r="M20" s="350"/>
      <c r="P20" s="94"/>
      <c r="Q20" s="94"/>
    </row>
    <row r="21" spans="1:18" ht="28.2" customHeight="1">
      <c r="A21" s="140">
        <v>4</v>
      </c>
      <c r="B21" s="148" t="str">
        <f>May!C21</f>
        <v>Nẹp KP vàng Nhật 6cm</v>
      </c>
      <c r="C21" s="733" t="str">
        <f>May!D21</f>
        <v>NKPVN06000001</v>
      </c>
      <c r="D21" s="446"/>
      <c r="E21" s="314" t="s">
        <v>51</v>
      </c>
      <c r="F21" s="189">
        <f>May!G21</f>
        <v>29.76</v>
      </c>
      <c r="G21" s="315"/>
      <c r="H21" s="115"/>
      <c r="J21" s="643" t="s">
        <v>137</v>
      </c>
      <c r="K21" s="644"/>
      <c r="L21" s="644" t="s">
        <v>138</v>
      </c>
      <c r="M21" s="645"/>
      <c r="P21" s="94"/>
      <c r="Q21" s="94"/>
    </row>
    <row r="22" spans="1:18" ht="18" customHeight="1">
      <c r="A22" s="140">
        <v>5</v>
      </c>
      <c r="B22" s="458" t="str">
        <f>May!C22</f>
        <v>Nẹp giấy Kraft nhật vàng 10cm</v>
      </c>
      <c r="C22" s="760" t="str">
        <f>May!D22</f>
        <v>NKPN0100001</v>
      </c>
      <c r="D22" s="761"/>
      <c r="E22" s="913" t="s">
        <v>51</v>
      </c>
      <c r="F22" s="913">
        <f>May!G22</f>
        <v>21.700000000000003</v>
      </c>
      <c r="G22" s="315"/>
      <c r="H22" s="115"/>
      <c r="J22" s="435"/>
      <c r="K22" s="436"/>
      <c r="M22" s="187"/>
      <c r="P22" s="94"/>
      <c r="Q22" s="94"/>
    </row>
    <row r="23" spans="1:18" ht="18" customHeight="1" thickBot="1">
      <c r="A23" s="165">
        <v>6</v>
      </c>
      <c r="B23" s="459"/>
      <c r="C23" s="765"/>
      <c r="D23" s="766"/>
      <c r="E23" s="914"/>
      <c r="F23" s="914"/>
      <c r="G23" s="117"/>
      <c r="H23" s="117"/>
      <c r="J23" s="672"/>
      <c r="K23" s="673"/>
      <c r="L23" s="191"/>
      <c r="M23" s="192"/>
      <c r="P23" s="94"/>
      <c r="Q23" s="94"/>
    </row>
    <row r="24" spans="1:18" ht="18" customHeight="1">
      <c r="A24" s="107"/>
      <c r="B24" s="93"/>
      <c r="C24" s="94"/>
      <c r="D24" s="94"/>
      <c r="E24" s="118"/>
      <c r="F24" s="197"/>
      <c r="J24" s="348" t="s">
        <v>369</v>
      </c>
      <c r="K24" s="349"/>
      <c r="L24" s="349"/>
      <c r="M24" s="350"/>
      <c r="P24" s="94"/>
      <c r="Q24" s="94"/>
    </row>
    <row r="25" spans="1:18" ht="18" customHeight="1">
      <c r="A25" s="107"/>
      <c r="B25" s="93"/>
      <c r="C25" s="94"/>
      <c r="D25" s="94"/>
      <c r="E25" s="118"/>
      <c r="F25" s="197"/>
      <c r="J25" s="643" t="s">
        <v>137</v>
      </c>
      <c r="K25" s="644"/>
      <c r="L25" s="644" t="s">
        <v>138</v>
      </c>
      <c r="M25" s="645"/>
      <c r="P25" s="94"/>
      <c r="Q25" s="94"/>
    </row>
    <row r="26" spans="1:18" ht="18" customHeight="1">
      <c r="A26" s="107"/>
      <c r="B26" s="93"/>
      <c r="C26" s="94"/>
      <c r="D26" s="94"/>
      <c r="E26" s="118"/>
      <c r="F26" s="197"/>
      <c r="J26" s="435"/>
      <c r="K26" s="436"/>
      <c r="M26" s="187"/>
      <c r="P26" s="94"/>
      <c r="Q26" s="94"/>
    </row>
    <row r="27" spans="1:18" ht="18" customHeight="1" thickBot="1">
      <c r="B27" s="111"/>
      <c r="C27" s="94"/>
      <c r="D27" s="339"/>
      <c r="E27" s="339"/>
      <c r="F27" s="197"/>
      <c r="G27" s="402"/>
      <c r="H27" s="402"/>
      <c r="J27" s="672"/>
      <c r="K27" s="673"/>
      <c r="L27" s="191"/>
      <c r="M27" s="192"/>
      <c r="P27" s="94"/>
      <c r="Q27" s="94"/>
    </row>
    <row r="28" spans="1:18" ht="18" customHeight="1">
      <c r="A28" s="348" t="s">
        <v>32</v>
      </c>
      <c r="B28" s="915" t="s">
        <v>7</v>
      </c>
      <c r="C28" s="880" t="s">
        <v>196</v>
      </c>
      <c r="D28" s="877"/>
      <c r="E28" s="601" t="s">
        <v>197</v>
      </c>
      <c r="F28" s="601"/>
      <c r="G28" s="349" t="s">
        <v>35</v>
      </c>
      <c r="H28" s="350" t="s">
        <v>138</v>
      </c>
      <c r="J28" s="198" t="s">
        <v>32</v>
      </c>
      <c r="K28" s="103" t="s">
        <v>147</v>
      </c>
      <c r="L28" s="199" t="s">
        <v>193</v>
      </c>
      <c r="M28" s="200" t="s">
        <v>194</v>
      </c>
      <c r="N28" s="201"/>
      <c r="P28" s="94"/>
      <c r="Q28" s="94"/>
    </row>
    <row r="29" spans="1:18" ht="18" customHeight="1">
      <c r="A29" s="643"/>
      <c r="B29" s="876"/>
      <c r="C29" s="621"/>
      <c r="D29" s="879"/>
      <c r="E29" s="184" t="s">
        <v>202</v>
      </c>
      <c r="F29" s="184" t="s">
        <v>202</v>
      </c>
      <c r="G29" s="644"/>
      <c r="H29" s="645"/>
      <c r="J29" s="140">
        <v>1</v>
      </c>
      <c r="K29" s="114"/>
      <c r="L29" s="114"/>
      <c r="M29" s="115"/>
      <c r="N29" s="201"/>
      <c r="P29" s="94"/>
      <c r="Q29" s="94"/>
    </row>
    <row r="30" spans="1:18" ht="19.95" customHeight="1">
      <c r="A30" s="464">
        <v>1</v>
      </c>
      <c r="B30" s="441" t="s">
        <v>105</v>
      </c>
      <c r="C30" s="333" t="s">
        <v>342</v>
      </c>
      <c r="D30" s="333"/>
      <c r="E30" s="639"/>
      <c r="F30" s="900"/>
      <c r="G30" s="371"/>
      <c r="H30" s="646"/>
      <c r="J30" s="140">
        <v>2</v>
      </c>
      <c r="K30" s="114"/>
      <c r="L30" s="114"/>
      <c r="M30" s="115"/>
      <c r="N30" s="202"/>
      <c r="P30" s="94"/>
      <c r="Q30" s="94"/>
    </row>
    <row r="31" spans="1:18" ht="19.95" customHeight="1">
      <c r="A31" s="457"/>
      <c r="B31" s="441"/>
      <c r="C31" s="333"/>
      <c r="D31" s="333"/>
      <c r="E31" s="639"/>
      <c r="F31" s="900"/>
      <c r="G31" s="371"/>
      <c r="H31" s="646"/>
      <c r="J31" s="140">
        <v>3</v>
      </c>
      <c r="K31" s="114"/>
      <c r="L31" s="114"/>
      <c r="M31" s="115"/>
      <c r="N31" s="202"/>
      <c r="P31" s="94"/>
      <c r="Q31" s="94"/>
    </row>
    <row r="32" spans="1:18" ht="19.95" customHeight="1">
      <c r="A32" s="748"/>
      <c r="B32" s="441"/>
      <c r="C32" s="333"/>
      <c r="D32" s="333"/>
      <c r="E32" s="639"/>
      <c r="F32" s="900"/>
      <c r="G32" s="371"/>
      <c r="H32" s="646"/>
      <c r="J32" s="140">
        <v>4</v>
      </c>
      <c r="K32" s="114"/>
      <c r="L32" s="114"/>
      <c r="M32" s="115"/>
      <c r="N32" s="202"/>
      <c r="P32" s="94"/>
      <c r="Q32" s="94"/>
    </row>
    <row r="33" spans="1:17" ht="19.95" customHeight="1">
      <c r="A33" s="464">
        <v>2</v>
      </c>
      <c r="B33" s="441" t="s">
        <v>343</v>
      </c>
      <c r="C33" s="916" t="s">
        <v>344</v>
      </c>
      <c r="D33" s="916"/>
      <c r="E33" s="639"/>
      <c r="F33" s="886"/>
      <c r="G33" s="371"/>
      <c r="H33" s="646"/>
      <c r="J33" s="165">
        <v>5</v>
      </c>
      <c r="K33" s="116"/>
      <c r="L33" s="116"/>
      <c r="M33" s="164"/>
      <c r="N33" s="202"/>
      <c r="P33" s="94"/>
      <c r="Q33" s="94"/>
    </row>
    <row r="34" spans="1:17" ht="19.95" customHeight="1">
      <c r="A34" s="748"/>
      <c r="B34" s="441"/>
      <c r="C34" s="916"/>
      <c r="D34" s="916"/>
      <c r="E34" s="639"/>
      <c r="F34" s="886"/>
      <c r="G34" s="371"/>
      <c r="H34" s="646"/>
      <c r="J34" s="92"/>
      <c r="K34" s="112"/>
      <c r="L34" s="92"/>
      <c r="M34" s="92"/>
      <c r="N34" s="201"/>
      <c r="P34" s="94"/>
      <c r="Q34" s="94"/>
    </row>
    <row r="35" spans="1:17" ht="19.95" customHeight="1">
      <c r="A35" s="464">
        <v>3</v>
      </c>
      <c r="B35" s="441" t="s">
        <v>345</v>
      </c>
      <c r="C35" s="916" t="s">
        <v>346</v>
      </c>
      <c r="D35" s="916"/>
      <c r="E35" s="639"/>
      <c r="F35" s="886"/>
      <c r="G35" s="371"/>
      <c r="H35" s="646"/>
      <c r="J35" s="348" t="s">
        <v>198</v>
      </c>
      <c r="K35" s="352" t="s">
        <v>199</v>
      </c>
      <c r="L35" s="349" t="s">
        <v>200</v>
      </c>
      <c r="M35" s="350" t="s">
        <v>201</v>
      </c>
      <c r="N35" s="202"/>
      <c r="P35" s="94"/>
      <c r="Q35" s="94"/>
    </row>
    <row r="36" spans="1:17" ht="19.95" customHeight="1">
      <c r="A36" s="748"/>
      <c r="B36" s="441"/>
      <c r="C36" s="916"/>
      <c r="D36" s="916"/>
      <c r="E36" s="639"/>
      <c r="F36" s="886"/>
      <c r="G36" s="371"/>
      <c r="H36" s="646"/>
      <c r="J36" s="643"/>
      <c r="K36" s="355"/>
      <c r="L36" s="644"/>
      <c r="M36" s="645"/>
      <c r="N36" s="202"/>
      <c r="P36" s="94"/>
      <c r="Q36" s="94"/>
    </row>
    <row r="37" spans="1:17" ht="19.95" customHeight="1">
      <c r="A37" s="464"/>
      <c r="B37" s="441"/>
      <c r="C37" s="916"/>
      <c r="D37" s="916"/>
      <c r="E37" s="639"/>
      <c r="F37" s="886"/>
      <c r="G37" s="371"/>
      <c r="H37" s="646"/>
      <c r="J37" s="370"/>
      <c r="K37" s="371"/>
      <c r="L37" s="371"/>
      <c r="M37" s="646"/>
      <c r="N37" s="202"/>
      <c r="P37" s="107"/>
      <c r="Q37" s="107"/>
    </row>
    <row r="38" spans="1:17" ht="19.95" customHeight="1">
      <c r="A38" s="748"/>
      <c r="B38" s="441"/>
      <c r="C38" s="916"/>
      <c r="D38" s="916"/>
      <c r="E38" s="639"/>
      <c r="F38" s="886"/>
      <c r="G38" s="371"/>
      <c r="H38" s="646"/>
      <c r="J38" s="370"/>
      <c r="K38" s="371"/>
      <c r="L38" s="371"/>
      <c r="M38" s="646"/>
      <c r="N38" s="202"/>
      <c r="P38" s="107"/>
      <c r="Q38" s="107"/>
    </row>
    <row r="39" spans="1:17" ht="19.95" customHeight="1">
      <c r="A39" s="464"/>
      <c r="B39" s="371"/>
      <c r="C39" s="916"/>
      <c r="D39" s="916"/>
      <c r="E39" s="639"/>
      <c r="F39" s="886"/>
      <c r="G39" s="371"/>
      <c r="H39" s="646"/>
      <c r="J39" s="370"/>
      <c r="K39" s="371"/>
      <c r="L39" s="371"/>
      <c r="M39" s="646"/>
      <c r="N39" s="202"/>
      <c r="P39" s="107"/>
      <c r="Q39" s="107"/>
    </row>
    <row r="40" spans="1:17" ht="19.95" customHeight="1">
      <c r="A40" s="748"/>
      <c r="B40" s="371"/>
      <c r="C40" s="916"/>
      <c r="D40" s="916"/>
      <c r="E40" s="639"/>
      <c r="F40" s="886"/>
      <c r="G40" s="371"/>
      <c r="H40" s="646"/>
      <c r="J40" s="370"/>
      <c r="K40" s="371"/>
      <c r="L40" s="371"/>
      <c r="M40" s="646"/>
      <c r="N40" s="202"/>
      <c r="P40" s="107"/>
      <c r="Q40" s="107"/>
    </row>
    <row r="41" spans="1:17" ht="19.95" customHeight="1">
      <c r="A41" s="464"/>
      <c r="B41" s="371"/>
      <c r="C41" s="916"/>
      <c r="D41" s="916"/>
      <c r="E41" s="639"/>
      <c r="F41" s="886"/>
      <c r="G41" s="371"/>
      <c r="H41" s="646"/>
      <c r="J41" s="370"/>
      <c r="K41" s="371"/>
      <c r="L41" s="371"/>
      <c r="M41" s="646"/>
      <c r="N41" s="202"/>
      <c r="P41" s="107"/>
      <c r="Q41" s="107"/>
    </row>
    <row r="42" spans="1:17" ht="19.95" customHeight="1">
      <c r="A42" s="748"/>
      <c r="B42" s="371"/>
      <c r="C42" s="916"/>
      <c r="D42" s="916"/>
      <c r="E42" s="639"/>
      <c r="F42" s="886"/>
      <c r="G42" s="371"/>
      <c r="H42" s="646"/>
      <c r="J42" s="370"/>
      <c r="K42" s="371"/>
      <c r="L42" s="371"/>
      <c r="M42" s="646"/>
      <c r="N42" s="202"/>
      <c r="P42" s="107"/>
      <c r="Q42" s="107"/>
    </row>
    <row r="43" spans="1:17" ht="19.95" customHeight="1">
      <c r="A43" s="464"/>
      <c r="B43" s="371"/>
      <c r="C43" s="916"/>
      <c r="D43" s="916"/>
      <c r="E43" s="639"/>
      <c r="F43" s="886"/>
      <c r="G43" s="371"/>
      <c r="H43" s="646"/>
      <c r="J43" s="643"/>
      <c r="K43" s="644"/>
      <c r="L43" s="644"/>
      <c r="M43" s="645"/>
      <c r="N43" s="202"/>
      <c r="P43" s="107"/>
      <c r="Q43" s="107"/>
    </row>
    <row r="44" spans="1:17" ht="19.95" customHeight="1">
      <c r="A44" s="748"/>
      <c r="B44" s="371"/>
      <c r="C44" s="916"/>
      <c r="D44" s="916"/>
      <c r="E44" s="639"/>
      <c r="F44" s="886"/>
      <c r="G44" s="371"/>
      <c r="H44" s="646"/>
      <c r="J44" s="643"/>
      <c r="K44" s="644"/>
      <c r="L44" s="644"/>
      <c r="M44" s="645"/>
      <c r="N44" s="202"/>
      <c r="P44" s="107"/>
      <c r="Q44" s="107"/>
    </row>
    <row r="45" spans="1:17" ht="19.95" customHeight="1">
      <c r="A45" s="464"/>
      <c r="B45" s="371"/>
      <c r="C45" s="916"/>
      <c r="D45" s="916"/>
      <c r="E45" s="639"/>
      <c r="F45" s="886"/>
      <c r="G45" s="371"/>
      <c r="H45" s="646"/>
      <c r="J45" s="643"/>
      <c r="K45" s="644"/>
      <c r="L45" s="644"/>
      <c r="M45" s="645"/>
      <c r="N45" s="202"/>
      <c r="P45" s="107"/>
      <c r="Q45" s="107"/>
    </row>
    <row r="46" spans="1:17" ht="19.95" customHeight="1">
      <c r="A46" s="748"/>
      <c r="B46" s="371"/>
      <c r="C46" s="916"/>
      <c r="D46" s="916"/>
      <c r="E46" s="639"/>
      <c r="F46" s="886"/>
      <c r="G46" s="371"/>
      <c r="H46" s="646"/>
      <c r="J46" s="723"/>
      <c r="K46" s="659"/>
      <c r="L46" s="659"/>
      <c r="M46" s="429"/>
      <c r="N46" s="202"/>
      <c r="P46" s="107"/>
      <c r="Q46" s="107"/>
    </row>
    <row r="47" spans="1:17" ht="19.95" customHeight="1">
      <c r="A47" s="464"/>
      <c r="B47" s="371"/>
      <c r="C47" s="916"/>
      <c r="D47" s="916"/>
      <c r="E47" s="639"/>
      <c r="F47" s="886"/>
      <c r="G47" s="371"/>
      <c r="H47" s="646"/>
      <c r="J47" s="92"/>
      <c r="K47" s="92"/>
      <c r="L47" s="92"/>
      <c r="M47" s="92"/>
      <c r="N47" s="202"/>
      <c r="P47" s="107"/>
      <c r="Q47" s="107"/>
    </row>
    <row r="48" spans="1:17" ht="19.95" customHeight="1">
      <c r="A48" s="748"/>
      <c r="B48" s="371"/>
      <c r="C48" s="916"/>
      <c r="D48" s="916"/>
      <c r="E48" s="639"/>
      <c r="F48" s="886"/>
      <c r="G48" s="371"/>
      <c r="H48" s="646"/>
      <c r="J48" s="348" t="s">
        <v>149</v>
      </c>
      <c r="K48" s="349"/>
      <c r="L48" s="349"/>
      <c r="M48" s="350"/>
      <c r="N48" s="202"/>
      <c r="P48" s="107"/>
      <c r="Q48" s="107"/>
    </row>
    <row r="49" spans="1:17" ht="19.95" customHeight="1">
      <c r="A49" s="464"/>
      <c r="B49" s="371"/>
      <c r="C49" s="916"/>
      <c r="D49" s="916"/>
      <c r="E49" s="639"/>
      <c r="F49" s="886"/>
      <c r="G49" s="371"/>
      <c r="H49" s="646"/>
      <c r="J49" s="612"/>
      <c r="K49" s="578"/>
      <c r="L49" s="578"/>
      <c r="M49" s="649"/>
      <c r="N49" s="202"/>
      <c r="P49" s="107"/>
      <c r="Q49" s="107"/>
    </row>
    <row r="50" spans="1:17" ht="19.95" customHeight="1">
      <c r="A50" s="748"/>
      <c r="B50" s="371"/>
      <c r="C50" s="916"/>
      <c r="D50" s="916"/>
      <c r="E50" s="639"/>
      <c r="F50" s="886"/>
      <c r="G50" s="371"/>
      <c r="H50" s="646"/>
      <c r="J50" s="734"/>
      <c r="K50" s="735"/>
      <c r="L50" s="735"/>
      <c r="M50" s="736"/>
      <c r="N50" s="202"/>
      <c r="P50" s="107"/>
      <c r="Q50" s="107"/>
    </row>
    <row r="51" spans="1:17" ht="19.95" customHeight="1">
      <c r="A51" s="464"/>
      <c r="B51" s="371"/>
      <c r="C51" s="916"/>
      <c r="D51" s="916"/>
      <c r="E51" s="639"/>
      <c r="F51" s="886"/>
      <c r="G51" s="371"/>
      <c r="H51" s="646"/>
      <c r="J51" s="734"/>
      <c r="K51" s="735"/>
      <c r="L51" s="735"/>
      <c r="M51" s="736"/>
      <c r="N51" s="202"/>
      <c r="P51" s="107"/>
      <c r="Q51" s="107"/>
    </row>
    <row r="52" spans="1:17" ht="19.95" customHeight="1">
      <c r="A52" s="748"/>
      <c r="B52" s="371"/>
      <c r="C52" s="916"/>
      <c r="D52" s="916"/>
      <c r="E52" s="639"/>
      <c r="F52" s="886"/>
      <c r="G52" s="371"/>
      <c r="H52" s="646"/>
      <c r="J52" s="734"/>
      <c r="K52" s="735"/>
      <c r="L52" s="735"/>
      <c r="M52" s="736"/>
      <c r="N52" s="202"/>
      <c r="P52" s="107"/>
      <c r="Q52" s="107"/>
    </row>
    <row r="53" spans="1:17" ht="19.95" customHeight="1">
      <c r="A53" s="464"/>
      <c r="B53" s="371"/>
      <c r="C53" s="916"/>
      <c r="D53" s="916"/>
      <c r="E53" s="639"/>
      <c r="F53" s="886"/>
      <c r="G53" s="371"/>
      <c r="H53" s="646"/>
      <c r="J53" s="734"/>
      <c r="K53" s="735"/>
      <c r="L53" s="735"/>
      <c r="M53" s="736"/>
      <c r="N53" s="202"/>
      <c r="P53" s="107"/>
      <c r="Q53" s="107"/>
    </row>
    <row r="54" spans="1:17" ht="19.95" customHeight="1">
      <c r="A54" s="749"/>
      <c r="B54" s="439"/>
      <c r="C54" s="917"/>
      <c r="D54" s="917"/>
      <c r="E54" s="641"/>
      <c r="F54" s="887"/>
      <c r="G54" s="439"/>
      <c r="H54" s="658"/>
      <c r="J54" s="755"/>
      <c r="K54" s="756"/>
      <c r="L54" s="756"/>
      <c r="M54" s="757"/>
      <c r="N54" s="202"/>
      <c r="P54" s="107"/>
      <c r="Q54" s="107"/>
    </row>
    <row r="55" spans="1:17" ht="18" customHeight="1">
      <c r="B55" s="207"/>
      <c r="C55" s="208"/>
      <c r="D55" s="208"/>
      <c r="E55" s="208"/>
      <c r="F55" s="208"/>
      <c r="G55" s="208"/>
      <c r="H55" s="208"/>
      <c r="N55" s="202"/>
      <c r="P55" s="107"/>
      <c r="Q55" s="107"/>
    </row>
    <row r="56" spans="1:17" ht="18" customHeight="1">
      <c r="A56" s="348" t="s">
        <v>347</v>
      </c>
      <c r="B56" s="349"/>
      <c r="C56" s="349"/>
      <c r="D56" s="349"/>
      <c r="E56" s="349"/>
      <c r="F56" s="349"/>
      <c r="G56" s="349"/>
      <c r="H56" s="350"/>
      <c r="I56" s="107"/>
      <c r="J56" s="351" t="s">
        <v>367</v>
      </c>
      <c r="K56" s="352"/>
      <c r="L56" s="352" t="s">
        <v>368</v>
      </c>
      <c r="M56" s="353"/>
    </row>
    <row r="57" spans="1:17" ht="18" customHeight="1">
      <c r="A57" s="643" t="s">
        <v>174</v>
      </c>
      <c r="B57" s="644"/>
      <c r="C57" s="644"/>
      <c r="D57" s="644"/>
      <c r="E57" s="644" t="s">
        <v>348</v>
      </c>
      <c r="F57" s="644"/>
      <c r="G57" s="644"/>
      <c r="H57" s="645"/>
      <c r="J57" s="354"/>
      <c r="K57" s="355"/>
      <c r="L57" s="355"/>
      <c r="M57" s="356"/>
    </row>
    <row r="58" spans="1:17" ht="18" customHeight="1">
      <c r="A58" s="370"/>
      <c r="B58" s="371"/>
      <c r="C58" s="371"/>
      <c r="D58" s="371"/>
      <c r="E58" s="371"/>
      <c r="F58" s="371"/>
      <c r="G58" s="371"/>
      <c r="H58" s="646"/>
      <c r="J58" s="354"/>
      <c r="K58" s="355"/>
      <c r="L58" s="355"/>
      <c r="M58" s="356"/>
    </row>
    <row r="59" spans="1:17" ht="18" customHeight="1">
      <c r="A59" s="370"/>
      <c r="B59" s="371"/>
      <c r="C59" s="371"/>
      <c r="D59" s="371"/>
      <c r="E59" s="371"/>
      <c r="F59" s="371"/>
      <c r="G59" s="371"/>
      <c r="H59" s="646"/>
      <c r="J59" s="354"/>
      <c r="K59" s="355"/>
      <c r="L59" s="355"/>
      <c r="M59" s="356"/>
    </row>
    <row r="60" spans="1:17" ht="18" customHeight="1">
      <c r="A60" s="405"/>
      <c r="B60" s="439"/>
      <c r="C60" s="439"/>
      <c r="D60" s="439"/>
      <c r="E60" s="439"/>
      <c r="F60" s="439"/>
      <c r="G60" s="439"/>
      <c r="H60" s="658"/>
      <c r="J60" s="357"/>
      <c r="K60" s="358"/>
      <c r="L60" s="358"/>
      <c r="M60" s="359"/>
    </row>
    <row r="63" spans="1:17">
      <c r="D63" s="402"/>
      <c r="E63" s="402"/>
      <c r="F63" s="402"/>
      <c r="G63" s="402"/>
    </row>
    <row r="64" spans="1:17">
      <c r="B64" s="338"/>
      <c r="C64" s="338"/>
      <c r="D64" s="624"/>
      <c r="E64" s="624"/>
      <c r="F64" s="624"/>
      <c r="G64" s="624"/>
    </row>
    <row r="65" spans="2:7">
      <c r="B65" s="338"/>
      <c r="C65" s="338"/>
      <c r="D65" s="624"/>
      <c r="E65" s="624"/>
      <c r="F65" s="625"/>
      <c r="G65" s="625"/>
    </row>
    <row r="66" spans="2:7">
      <c r="B66" s="338"/>
      <c r="C66" s="338"/>
      <c r="D66" s="624"/>
      <c r="E66" s="624"/>
      <c r="F66" s="626"/>
      <c r="G66" s="626"/>
    </row>
    <row r="67" spans="2:7">
      <c r="B67" s="338"/>
      <c r="C67" s="338"/>
      <c r="D67" s="624"/>
      <c r="E67" s="624"/>
      <c r="F67" s="624"/>
      <c r="G67" s="624"/>
    </row>
    <row r="68" spans="2:7">
      <c r="B68" s="338"/>
      <c r="C68" s="338"/>
      <c r="D68" s="624"/>
      <c r="E68" s="624"/>
      <c r="F68" s="624"/>
      <c r="G68" s="624"/>
    </row>
    <row r="69" spans="2:7">
      <c r="B69" s="338"/>
      <c r="C69" s="338"/>
      <c r="D69" s="624"/>
      <c r="E69" s="624"/>
      <c r="F69" s="626"/>
      <c r="G69" s="626"/>
    </row>
    <row r="70" spans="2:7">
      <c r="B70" s="338"/>
      <c r="C70" s="338"/>
      <c r="D70" s="624"/>
      <c r="E70" s="624"/>
      <c r="F70" s="626"/>
      <c r="G70" s="626"/>
    </row>
    <row r="71" spans="2:7">
      <c r="B71" s="338"/>
      <c r="C71" s="338"/>
      <c r="D71" s="624"/>
      <c r="E71" s="624"/>
      <c r="F71" s="626"/>
      <c r="G71" s="626"/>
    </row>
    <row r="72" spans="2:7">
      <c r="B72" s="338"/>
      <c r="C72" s="338"/>
      <c r="D72" s="624"/>
      <c r="E72" s="624"/>
      <c r="F72" s="632"/>
      <c r="G72" s="632"/>
    </row>
  </sheetData>
  <mergeCells count="210">
    <mergeCell ref="J56:K57"/>
    <mergeCell ref="L56:M57"/>
    <mergeCell ref="A58:D60"/>
    <mergeCell ref="E58:H60"/>
    <mergeCell ref="J58:K60"/>
    <mergeCell ref="L58:M60"/>
    <mergeCell ref="C28:D29"/>
    <mergeCell ref="C30:D32"/>
    <mergeCell ref="C33:D34"/>
    <mergeCell ref="C35:D36"/>
    <mergeCell ref="C37:D38"/>
    <mergeCell ref="C39:D40"/>
    <mergeCell ref="C41:D42"/>
    <mergeCell ref="C43:D44"/>
    <mergeCell ref="C45:D46"/>
    <mergeCell ref="C47:D48"/>
    <mergeCell ref="C49:D50"/>
    <mergeCell ref="C51:D52"/>
    <mergeCell ref="C53:D54"/>
    <mergeCell ref="M35:M36"/>
    <mergeCell ref="M37:M38"/>
    <mergeCell ref="M39:M40"/>
    <mergeCell ref="M41:M42"/>
    <mergeCell ref="M43:M44"/>
    <mergeCell ref="J53:M53"/>
    <mergeCell ref="J54:M54"/>
    <mergeCell ref="M45:M46"/>
    <mergeCell ref="A1:B3"/>
    <mergeCell ref="C1:J3"/>
    <mergeCell ref="J17:K18"/>
    <mergeCell ref="J22:K23"/>
    <mergeCell ref="C19:D20"/>
    <mergeCell ref="K35:K36"/>
    <mergeCell ref="K37:K38"/>
    <mergeCell ref="K39:K40"/>
    <mergeCell ref="K41:K42"/>
    <mergeCell ref="K43:K44"/>
    <mergeCell ref="K45:K46"/>
    <mergeCell ref="L35:L36"/>
    <mergeCell ref="L37:L38"/>
    <mergeCell ref="L39:L40"/>
    <mergeCell ref="L41:L42"/>
    <mergeCell ref="L43:L44"/>
    <mergeCell ref="L45:L46"/>
    <mergeCell ref="H28:H29"/>
    <mergeCell ref="H30:H32"/>
    <mergeCell ref="H33:H34"/>
    <mergeCell ref="F41:F42"/>
    <mergeCell ref="E28:F28"/>
    <mergeCell ref="F30:F32"/>
    <mergeCell ref="F33:F34"/>
    <mergeCell ref="H47:H48"/>
    <mergeCell ref="H49:H50"/>
    <mergeCell ref="H51:H52"/>
    <mergeCell ref="H53:H54"/>
    <mergeCell ref="J35:J36"/>
    <mergeCell ref="J37:J38"/>
    <mergeCell ref="J39:J40"/>
    <mergeCell ref="J41:J42"/>
    <mergeCell ref="J43:J44"/>
    <mergeCell ref="J45:J46"/>
    <mergeCell ref="H35:H36"/>
    <mergeCell ref="H37:H38"/>
    <mergeCell ref="H39:H40"/>
    <mergeCell ref="H41:H42"/>
    <mergeCell ref="H43:H44"/>
    <mergeCell ref="H45:H46"/>
    <mergeCell ref="J48:M48"/>
    <mergeCell ref="J49:M49"/>
    <mergeCell ref="J50:M50"/>
    <mergeCell ref="J51:M51"/>
    <mergeCell ref="J52:M52"/>
    <mergeCell ref="G28:G29"/>
    <mergeCell ref="G30:G32"/>
    <mergeCell ref="G33:G34"/>
    <mergeCell ref="G35:G36"/>
    <mergeCell ref="G37:G38"/>
    <mergeCell ref="G39:G40"/>
    <mergeCell ref="G41:G42"/>
    <mergeCell ref="G43:G44"/>
    <mergeCell ref="G45:G46"/>
    <mergeCell ref="B19:B20"/>
    <mergeCell ref="B22:B23"/>
    <mergeCell ref="B28:B29"/>
    <mergeCell ref="B30:B32"/>
    <mergeCell ref="B33:B34"/>
    <mergeCell ref="B35:B36"/>
    <mergeCell ref="B37:B38"/>
    <mergeCell ref="B39:B40"/>
    <mergeCell ref="B41:B42"/>
    <mergeCell ref="B72:C72"/>
    <mergeCell ref="D72:E72"/>
    <mergeCell ref="F72:G72"/>
    <mergeCell ref="A28:A29"/>
    <mergeCell ref="A30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B43:B44"/>
    <mergeCell ref="B45:B46"/>
    <mergeCell ref="B47:B48"/>
    <mergeCell ref="B49:B50"/>
    <mergeCell ref="B51:B52"/>
    <mergeCell ref="B53:B54"/>
    <mergeCell ref="E30:E32"/>
    <mergeCell ref="E33:E34"/>
    <mergeCell ref="B69:C69"/>
    <mergeCell ref="D69:E69"/>
    <mergeCell ref="F69:G69"/>
    <mergeCell ref="B70:C70"/>
    <mergeCell ref="D70:E70"/>
    <mergeCell ref="F70:G70"/>
    <mergeCell ref="B71:C71"/>
    <mergeCell ref="D71:E71"/>
    <mergeCell ref="F71:G71"/>
    <mergeCell ref="B66:C66"/>
    <mergeCell ref="D66:E66"/>
    <mergeCell ref="F66:G66"/>
    <mergeCell ref="B67:C67"/>
    <mergeCell ref="D67:E67"/>
    <mergeCell ref="F67:G67"/>
    <mergeCell ref="B68:C68"/>
    <mergeCell ref="D68:E68"/>
    <mergeCell ref="F68:G68"/>
    <mergeCell ref="A57:D57"/>
    <mergeCell ref="E57:H57"/>
    <mergeCell ref="D63:E63"/>
    <mergeCell ref="F63:G63"/>
    <mergeCell ref="B64:C64"/>
    <mergeCell ref="D64:E64"/>
    <mergeCell ref="F64:G64"/>
    <mergeCell ref="B65:C65"/>
    <mergeCell ref="D65:E65"/>
    <mergeCell ref="F65:G65"/>
    <mergeCell ref="A56:H56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F35:F36"/>
    <mergeCell ref="F37:F38"/>
    <mergeCell ref="F39:F40"/>
    <mergeCell ref="F47:F48"/>
    <mergeCell ref="F49:F50"/>
    <mergeCell ref="F51:F52"/>
    <mergeCell ref="F53:F54"/>
    <mergeCell ref="G47:G48"/>
    <mergeCell ref="G49:G50"/>
    <mergeCell ref="G51:G52"/>
    <mergeCell ref="G53:G54"/>
    <mergeCell ref="F43:F44"/>
    <mergeCell ref="F45:F46"/>
    <mergeCell ref="C17:D17"/>
    <mergeCell ref="C18:D18"/>
    <mergeCell ref="J20:M20"/>
    <mergeCell ref="C21:D21"/>
    <mergeCell ref="J21:K21"/>
    <mergeCell ref="L21:M21"/>
    <mergeCell ref="D27:E27"/>
    <mergeCell ref="G27:H27"/>
    <mergeCell ref="J24:M24"/>
    <mergeCell ref="J25:K25"/>
    <mergeCell ref="L25:M25"/>
    <mergeCell ref="J26:K27"/>
    <mergeCell ref="C22:D23"/>
    <mergeCell ref="F22:F23"/>
    <mergeCell ref="E22:E23"/>
    <mergeCell ref="A13:B13"/>
    <mergeCell ref="C13:G13"/>
    <mergeCell ref="H13:M13"/>
    <mergeCell ref="A15:H15"/>
    <mergeCell ref="J15:M15"/>
    <mergeCell ref="C16:E16"/>
    <mergeCell ref="F16:H16"/>
    <mergeCell ref="J16:K16"/>
    <mergeCell ref="L16:M16"/>
    <mergeCell ref="A8:B8"/>
    <mergeCell ref="C8:H8"/>
    <mergeCell ref="A10:B10"/>
    <mergeCell ref="C10:G10"/>
    <mergeCell ref="H10:M10"/>
    <mergeCell ref="A11:B11"/>
    <mergeCell ref="C11:G11"/>
    <mergeCell ref="H11:M11"/>
    <mergeCell ref="A12:B12"/>
    <mergeCell ref="C12:G12"/>
    <mergeCell ref="H12:M12"/>
    <mergeCell ref="K1:M1"/>
    <mergeCell ref="K2:M2"/>
    <mergeCell ref="K3:M3"/>
    <mergeCell ref="A5:B5"/>
    <mergeCell ref="C5:H5"/>
    <mergeCell ref="A6:B6"/>
    <mergeCell ref="C6:H6"/>
    <mergeCell ref="A7:B7"/>
    <mergeCell ref="C7:H7"/>
  </mergeCells>
  <conditionalFormatting sqref="C19 C21:C22 C24:C26">
    <cfRule type="duplicateValues" dxfId="23" priority="7" stopIfTrue="1"/>
    <cfRule type="duplicateValues" dxfId="22" priority="8" stopIfTrue="1"/>
    <cfRule type="duplicateValues" dxfId="21" priority="9" stopIfTrue="1"/>
    <cfRule type="duplicateValues" dxfId="20" priority="10" stopIfTrue="1"/>
    <cfRule type="duplicateValues" dxfId="19" priority="11" stopIfTrue="1"/>
    <cfRule type="duplicateValues" dxfId="18" priority="12" stopIfTrue="1"/>
  </conditionalFormatting>
  <conditionalFormatting sqref="C27">
    <cfRule type="duplicateValues" dxfId="17" priority="1" stopIfTrue="1"/>
    <cfRule type="duplicateValues" dxfId="16" priority="2" stopIfTrue="1"/>
    <cfRule type="duplicateValues" dxfId="15" priority="3" stopIfTrue="1"/>
    <cfRule type="duplicateValues" dxfId="14" priority="4" stopIfTrue="1"/>
    <cfRule type="duplicateValues" dxfId="13" priority="5" stopIfTrue="1"/>
    <cfRule type="duplicateValues" dxfId="12" priority="6" stopIfTrue="1"/>
  </conditionalFormatting>
  <printOptions horizontalCentered="1"/>
  <pageMargins left="0.23611111111111099" right="0.23622047244094499" top="0.35416666666666702" bottom="0.31458333333333299" header="0.31496062992126" footer="0.31496062992126"/>
  <pageSetup paperSize="9" scale="68" orientation="portrait" horizontalDpi="300" verticalDpi="30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00B0F0"/>
    <pageSetUpPr fitToPage="1"/>
  </sheetPr>
  <dimension ref="A1:X66"/>
  <sheetViews>
    <sheetView showGridLines="0" view="pageBreakPreview" topLeftCell="C4" zoomScaleNormal="100" zoomScaleSheetLayoutView="100" zoomScalePageLayoutView="85" workbookViewId="0">
      <selection activeCell="D34" sqref="D34"/>
    </sheetView>
  </sheetViews>
  <sheetFormatPr defaultColWidth="8.88671875" defaultRowHeight="13.8"/>
  <cols>
    <col min="1" max="1" width="4" style="91" customWidth="1"/>
    <col min="2" max="2" width="19" style="91" customWidth="1"/>
    <col min="3" max="4" width="14.88671875" style="91" customWidth="1"/>
    <col min="5" max="6" width="10.44140625" style="91" customWidth="1"/>
    <col min="7" max="8" width="10.33203125" style="91" customWidth="1"/>
    <col min="9" max="9" width="1.77734375" style="91" customWidth="1"/>
    <col min="10" max="10" width="10.109375" style="91" customWidth="1"/>
    <col min="11" max="11" width="11.109375" style="91" customWidth="1"/>
    <col min="12" max="12" width="9.88671875" style="91" customWidth="1"/>
    <col min="13" max="13" width="13.33203125" style="91" customWidth="1"/>
    <col min="14" max="14" width="8.88671875" style="91"/>
    <col min="15" max="15" width="9.88671875" style="91" customWidth="1"/>
    <col min="16" max="16" width="50.6640625" style="91" customWidth="1"/>
    <col min="17" max="17" width="35.5546875" style="91" customWidth="1"/>
    <col min="18" max="16384" width="8.88671875" style="91"/>
  </cols>
  <sheetData>
    <row r="1" spans="1:24" ht="19.05" customHeight="1">
      <c r="A1" s="705"/>
      <c r="B1" s="706"/>
      <c r="C1" s="711" t="s">
        <v>178</v>
      </c>
      <c r="D1" s="712"/>
      <c r="E1" s="712"/>
      <c r="F1" s="712"/>
      <c r="G1" s="712"/>
      <c r="H1" s="712"/>
      <c r="I1" s="712"/>
      <c r="J1" s="713"/>
      <c r="K1" s="342" t="s">
        <v>179</v>
      </c>
      <c r="L1" s="343"/>
      <c r="M1" s="344"/>
    </row>
    <row r="2" spans="1:24" ht="19.05" customHeight="1">
      <c r="A2" s="707"/>
      <c r="B2" s="708"/>
      <c r="C2" s="714"/>
      <c r="D2" s="581"/>
      <c r="E2" s="581"/>
      <c r="F2" s="581"/>
      <c r="G2" s="581"/>
      <c r="H2" s="581"/>
      <c r="I2" s="581"/>
      <c r="J2" s="620"/>
      <c r="K2" s="374" t="s">
        <v>114</v>
      </c>
      <c r="L2" s="375"/>
      <c r="M2" s="376"/>
    </row>
    <row r="3" spans="1:24" ht="19.05" customHeight="1">
      <c r="A3" s="709"/>
      <c r="B3" s="710"/>
      <c r="C3" s="715"/>
      <c r="D3" s="716"/>
      <c r="E3" s="716"/>
      <c r="F3" s="716"/>
      <c r="G3" s="716"/>
      <c r="H3" s="716"/>
      <c r="I3" s="716"/>
      <c r="J3" s="717"/>
      <c r="K3" s="381" t="s">
        <v>165</v>
      </c>
      <c r="L3" s="382"/>
      <c r="M3" s="383"/>
      <c r="P3" s="94"/>
      <c r="Q3" s="94"/>
    </row>
    <row r="4" spans="1:24" ht="15" customHeight="1">
      <c r="A4" s="107"/>
      <c r="C4" s="178"/>
      <c r="P4" s="94"/>
      <c r="Q4" s="94"/>
    </row>
    <row r="5" spans="1:24" ht="15" customHeight="1">
      <c r="A5" s="576" t="s">
        <v>116</v>
      </c>
      <c r="B5" s="576"/>
      <c r="C5" s="575" t="str">
        <f>'In 2'!C5</f>
        <v>26BA2HKH00563000029</v>
      </c>
      <c r="D5" s="575"/>
      <c r="E5" s="575"/>
      <c r="F5" s="575"/>
      <c r="G5" s="575"/>
      <c r="H5" s="575"/>
      <c r="I5" s="92" t="s">
        <v>3</v>
      </c>
      <c r="J5" s="92"/>
      <c r="K5" s="179" t="str">
        <f>'In 2'!K5</f>
        <v>SX2607045</v>
      </c>
      <c r="P5" s="94"/>
      <c r="Q5" s="94"/>
      <c r="U5" s="91" t="s">
        <v>180</v>
      </c>
      <c r="V5" s="91" t="s">
        <v>181</v>
      </c>
      <c r="W5" s="91" t="s">
        <v>182</v>
      </c>
      <c r="X5" s="91" t="s">
        <v>183</v>
      </c>
    </row>
    <row r="6" spans="1:24" ht="15" customHeight="1">
      <c r="A6" s="577" t="s">
        <v>117</v>
      </c>
      <c r="B6" s="577"/>
      <c r="C6" s="338" t="str">
        <f>'In 2'!C6</f>
        <v>BT1KH00563KP0004</v>
      </c>
      <c r="D6" s="338"/>
      <c r="E6" s="338"/>
      <c r="F6" s="338"/>
      <c r="G6" s="338"/>
      <c r="H6" s="338"/>
      <c r="I6" s="92" t="s">
        <v>184</v>
      </c>
      <c r="J6" s="92"/>
      <c r="K6" s="94" t="s">
        <v>105</v>
      </c>
      <c r="P6" s="94"/>
      <c r="Q6" s="94"/>
    </row>
    <row r="7" spans="1:24" ht="15" customHeight="1">
      <c r="A7" s="577" t="s">
        <v>120</v>
      </c>
      <c r="B7" s="577"/>
      <c r="C7" s="338" t="str">
        <f>'In 2'!C7</f>
        <v>Bao giấy 25kg AM-20 Tân Châu</v>
      </c>
      <c r="D7" s="338"/>
      <c r="E7" s="338"/>
      <c r="F7" s="338"/>
      <c r="G7" s="338"/>
      <c r="H7" s="338"/>
      <c r="I7" s="180" t="s">
        <v>121</v>
      </c>
      <c r="J7" s="180"/>
      <c r="K7" s="181" t="s">
        <v>387</v>
      </c>
      <c r="P7" s="94"/>
      <c r="Q7" s="94"/>
    </row>
    <row r="8" spans="1:24" ht="31.8" customHeight="1">
      <c r="A8" s="577" t="s">
        <v>123</v>
      </c>
      <c r="B8" s="577"/>
      <c r="C8" s="575" t="str">
        <f>'In 2'!C8</f>
        <v xml:space="preserve">NHÀ MÁY SX TINH BỘT SẮN TÂN CHÂU-CN CÔNG TY CPNS THỰC PHẨM QUẢNG NGÃI					</v>
      </c>
      <c r="D8" s="575"/>
      <c r="E8" s="575"/>
      <c r="F8" s="575"/>
      <c r="G8" s="575"/>
      <c r="H8" s="575"/>
      <c r="I8" s="180" t="s">
        <v>124</v>
      </c>
      <c r="J8" s="180"/>
      <c r="K8" s="181" t="s">
        <v>387</v>
      </c>
      <c r="P8" s="94"/>
      <c r="Q8" s="94"/>
    </row>
    <row r="9" spans="1:24" ht="15" customHeight="1">
      <c r="A9" s="94"/>
      <c r="B9" s="94"/>
      <c r="C9" s="94"/>
      <c r="D9" s="94"/>
      <c r="E9" s="94"/>
      <c r="I9" s="94"/>
      <c r="K9" s="94"/>
      <c r="P9" s="94"/>
      <c r="Q9" s="94"/>
    </row>
    <row r="10" spans="1:24" ht="19.05" customHeight="1">
      <c r="A10" s="345"/>
      <c r="B10" s="346"/>
      <c r="C10" s="349" t="s">
        <v>125</v>
      </c>
      <c r="D10" s="349"/>
      <c r="E10" s="349"/>
      <c r="F10" s="349"/>
      <c r="G10" s="349"/>
      <c r="H10" s="349" t="s">
        <v>126</v>
      </c>
      <c r="I10" s="349"/>
      <c r="J10" s="349"/>
      <c r="K10" s="349"/>
      <c r="L10" s="349"/>
      <c r="M10" s="350"/>
      <c r="P10" s="94"/>
      <c r="Q10" s="94"/>
    </row>
    <row r="11" spans="1:24" ht="19.05" customHeight="1">
      <c r="A11" s="440" t="s">
        <v>127</v>
      </c>
      <c r="B11" s="441"/>
      <c r="C11" s="371" t="s">
        <v>358</v>
      </c>
      <c r="D11" s="371"/>
      <c r="E11" s="371"/>
      <c r="F11" s="371"/>
      <c r="G11" s="371"/>
      <c r="H11" s="371" t="s">
        <v>358</v>
      </c>
      <c r="I11" s="371"/>
      <c r="J11" s="371"/>
      <c r="K11" s="371"/>
      <c r="L11" s="371"/>
      <c r="M11" s="646"/>
      <c r="P11" s="94"/>
      <c r="Q11" s="94"/>
    </row>
    <row r="12" spans="1:24" ht="19.05" customHeight="1">
      <c r="A12" s="440" t="s">
        <v>129</v>
      </c>
      <c r="B12" s="441"/>
      <c r="C12" s="371" t="s">
        <v>130</v>
      </c>
      <c r="D12" s="371"/>
      <c r="E12" s="371"/>
      <c r="F12" s="371"/>
      <c r="G12" s="371"/>
      <c r="H12" s="371" t="s">
        <v>357</v>
      </c>
      <c r="I12" s="371"/>
      <c r="J12" s="371"/>
      <c r="K12" s="371"/>
      <c r="L12" s="371"/>
      <c r="M12" s="646"/>
      <c r="P12" s="94"/>
      <c r="Q12" s="94"/>
    </row>
    <row r="13" spans="1:24" ht="19.05" customHeight="1">
      <c r="A13" s="448" t="s">
        <v>132</v>
      </c>
      <c r="B13" s="449"/>
      <c r="C13" s="659"/>
      <c r="D13" s="659"/>
      <c r="E13" s="659"/>
      <c r="F13" s="659"/>
      <c r="G13" s="659"/>
      <c r="H13" s="659"/>
      <c r="I13" s="659"/>
      <c r="J13" s="659"/>
      <c r="K13" s="659"/>
      <c r="L13" s="659"/>
      <c r="M13" s="429"/>
      <c r="P13" s="94"/>
      <c r="Q13" s="94"/>
    </row>
    <row r="14" spans="1:24">
      <c r="P14" s="94"/>
      <c r="Q14" s="94"/>
    </row>
    <row r="15" spans="1:24" ht="24" customHeight="1">
      <c r="A15" s="871" t="s">
        <v>349</v>
      </c>
      <c r="B15" s="409"/>
      <c r="C15" s="409"/>
      <c r="D15" s="409"/>
      <c r="E15" s="409"/>
      <c r="F15" s="409"/>
      <c r="G15" s="409"/>
      <c r="H15" s="872"/>
      <c r="J15" s="348" t="s">
        <v>185</v>
      </c>
      <c r="K15" s="349"/>
      <c r="L15" s="349"/>
      <c r="M15" s="350"/>
      <c r="P15" s="94"/>
      <c r="Q15" s="94"/>
    </row>
    <row r="16" spans="1:24" ht="18" customHeight="1">
      <c r="A16" s="182" t="s">
        <v>340</v>
      </c>
      <c r="B16" s="97"/>
      <c r="C16" s="906">
        <f>In!M6</f>
        <v>5000</v>
      </c>
      <c r="D16" s="907"/>
      <c r="E16" s="907"/>
      <c r="F16" s="719" t="s">
        <v>341</v>
      </c>
      <c r="G16" s="719"/>
      <c r="H16" s="912"/>
      <c r="J16" s="643" t="s">
        <v>137</v>
      </c>
      <c r="K16" s="644"/>
      <c r="L16" s="644" t="s">
        <v>138</v>
      </c>
      <c r="M16" s="645"/>
      <c r="P16" s="93"/>
      <c r="Q16" s="93"/>
    </row>
    <row r="17" spans="1:18" ht="18" customHeight="1">
      <c r="A17" s="183" t="s">
        <v>32</v>
      </c>
      <c r="B17" s="184" t="s">
        <v>33</v>
      </c>
      <c r="C17" s="585" t="s">
        <v>34</v>
      </c>
      <c r="D17" s="628"/>
      <c r="E17" s="184" t="s">
        <v>188</v>
      </c>
      <c r="F17" s="185" t="s">
        <v>6</v>
      </c>
      <c r="G17" s="185" t="s">
        <v>189</v>
      </c>
      <c r="H17" s="186" t="s">
        <v>190</v>
      </c>
      <c r="J17" s="435"/>
      <c r="K17" s="436"/>
      <c r="M17" s="187"/>
      <c r="P17" s="94"/>
      <c r="Q17" s="94"/>
      <c r="R17" s="110"/>
    </row>
    <row r="18" spans="1:18" ht="18" customHeight="1">
      <c r="A18" s="140">
        <v>1</v>
      </c>
      <c r="B18" s="148" t="str">
        <f>May!C18</f>
        <v>Dây bó bao xám</v>
      </c>
      <c r="C18" s="733" t="str">
        <f>May!D18</f>
        <v>VC40000000001</v>
      </c>
      <c r="D18" s="446"/>
      <c r="E18" s="188"/>
      <c r="F18" s="189" t="s">
        <v>51</v>
      </c>
      <c r="G18" s="189">
        <f>May!G18</f>
        <v>1</v>
      </c>
      <c r="H18" s="190"/>
      <c r="J18" s="672"/>
      <c r="K18" s="673"/>
      <c r="L18" s="191"/>
      <c r="M18" s="192"/>
      <c r="P18" s="94"/>
      <c r="Q18" s="93"/>
      <c r="R18" s="110"/>
    </row>
    <row r="19" spans="1:18" ht="18" customHeight="1">
      <c r="A19" s="140">
        <v>2</v>
      </c>
      <c r="B19" s="148"/>
      <c r="C19" s="733"/>
      <c r="D19" s="446"/>
      <c r="E19" s="188"/>
      <c r="F19" s="189"/>
      <c r="G19" s="189"/>
      <c r="H19" s="190"/>
      <c r="P19" s="94"/>
      <c r="Q19" s="93"/>
      <c r="R19" s="110"/>
    </row>
    <row r="20" spans="1:18" ht="18" customHeight="1">
      <c r="A20" s="140">
        <v>3</v>
      </c>
      <c r="B20" s="104"/>
      <c r="C20" s="733"/>
      <c r="D20" s="446"/>
      <c r="E20" s="188"/>
      <c r="F20" s="114"/>
      <c r="G20" s="189"/>
      <c r="H20" s="190"/>
      <c r="J20" s="348" t="s">
        <v>192</v>
      </c>
      <c r="K20" s="349"/>
      <c r="L20" s="349"/>
      <c r="M20" s="350"/>
      <c r="P20" s="94"/>
      <c r="Q20" s="94"/>
    </row>
    <row r="21" spans="1:18" ht="23.4" customHeight="1">
      <c r="A21" s="140">
        <v>4</v>
      </c>
      <c r="B21" s="148"/>
      <c r="C21" s="733"/>
      <c r="D21" s="446"/>
      <c r="E21" s="188"/>
      <c r="F21" s="193"/>
      <c r="G21" s="189"/>
      <c r="H21" s="115"/>
      <c r="J21" s="643" t="s">
        <v>137</v>
      </c>
      <c r="K21" s="644"/>
      <c r="L21" s="644" t="s">
        <v>138</v>
      </c>
      <c r="M21" s="645"/>
      <c r="P21" s="94"/>
      <c r="Q21" s="94"/>
    </row>
    <row r="22" spans="1:18" ht="18" customHeight="1">
      <c r="A22" s="140">
        <v>5</v>
      </c>
      <c r="B22" s="148"/>
      <c r="C22" s="733"/>
      <c r="D22" s="446"/>
      <c r="E22" s="188"/>
      <c r="F22" s="193"/>
      <c r="G22" s="189"/>
      <c r="H22" s="115"/>
      <c r="J22" s="435"/>
      <c r="K22" s="436"/>
      <c r="M22" s="187"/>
      <c r="P22" s="94"/>
      <c r="Q22" s="94"/>
    </row>
    <row r="23" spans="1:18" ht="18" customHeight="1">
      <c r="A23" s="165">
        <v>6</v>
      </c>
      <c r="B23" s="194"/>
      <c r="C23" s="759"/>
      <c r="D23" s="447"/>
      <c r="E23" s="195"/>
      <c r="F23" s="196"/>
      <c r="G23" s="105"/>
      <c r="H23" s="117"/>
      <c r="J23" s="672"/>
      <c r="K23" s="673"/>
      <c r="L23" s="191"/>
      <c r="M23" s="192"/>
      <c r="P23" s="94"/>
      <c r="Q23" s="94"/>
    </row>
    <row r="24" spans="1:18" ht="18" customHeight="1">
      <c r="B24" s="111"/>
      <c r="C24" s="94"/>
      <c r="D24" s="339"/>
      <c r="E24" s="339"/>
      <c r="F24" s="197"/>
      <c r="G24" s="402"/>
      <c r="H24" s="402"/>
      <c r="J24" s="107"/>
      <c r="K24" s="107"/>
      <c r="L24" s="107"/>
      <c r="M24" s="107"/>
      <c r="P24" s="94"/>
      <c r="Q24" s="94"/>
    </row>
    <row r="25" spans="1:18" ht="18" customHeight="1">
      <c r="A25" s="348" t="s">
        <v>32</v>
      </c>
      <c r="B25" s="349" t="s">
        <v>7</v>
      </c>
      <c r="C25" s="352" t="s">
        <v>196</v>
      </c>
      <c r="D25" s="352"/>
      <c r="E25" s="601" t="s">
        <v>197</v>
      </c>
      <c r="F25" s="601"/>
      <c r="G25" s="349" t="s">
        <v>35</v>
      </c>
      <c r="H25" s="350" t="s">
        <v>138</v>
      </c>
      <c r="J25" s="198" t="s">
        <v>32</v>
      </c>
      <c r="K25" s="103" t="s">
        <v>147</v>
      </c>
      <c r="L25" s="199" t="s">
        <v>193</v>
      </c>
      <c r="M25" s="200" t="s">
        <v>194</v>
      </c>
      <c r="N25" s="201"/>
      <c r="P25" s="94"/>
      <c r="Q25" s="94"/>
    </row>
    <row r="26" spans="1:18" ht="18" customHeight="1">
      <c r="A26" s="643"/>
      <c r="B26" s="644"/>
      <c r="C26" s="355"/>
      <c r="D26" s="355"/>
      <c r="E26" s="184" t="s">
        <v>202</v>
      </c>
      <c r="F26" s="184" t="s">
        <v>202</v>
      </c>
      <c r="G26" s="644"/>
      <c r="H26" s="645"/>
      <c r="J26" s="140">
        <v>1</v>
      </c>
      <c r="K26" s="114"/>
      <c r="L26" s="114"/>
      <c r="M26" s="115"/>
      <c r="N26" s="201"/>
      <c r="P26" s="94"/>
      <c r="Q26" s="94"/>
    </row>
    <row r="27" spans="1:18" ht="19.95" customHeight="1">
      <c r="A27" s="370">
        <v>1</v>
      </c>
      <c r="B27" s="441" t="s">
        <v>350</v>
      </c>
      <c r="C27" s="922" t="s">
        <v>351</v>
      </c>
      <c r="D27" s="441"/>
      <c r="E27" s="639"/>
      <c r="F27" s="900"/>
      <c r="G27" s="371"/>
      <c r="H27" s="646"/>
      <c r="J27" s="140">
        <v>2</v>
      </c>
      <c r="K27" s="114"/>
      <c r="L27" s="114"/>
      <c r="M27" s="115"/>
      <c r="N27" s="202"/>
      <c r="P27" s="94"/>
      <c r="Q27" s="94"/>
    </row>
    <row r="28" spans="1:18" ht="19.95" customHeight="1">
      <c r="A28" s="370"/>
      <c r="B28" s="441"/>
      <c r="C28" s="441"/>
      <c r="D28" s="441"/>
      <c r="E28" s="639"/>
      <c r="F28" s="900"/>
      <c r="G28" s="371"/>
      <c r="H28" s="646"/>
      <c r="J28" s="140">
        <v>3</v>
      </c>
      <c r="K28" s="114"/>
      <c r="L28" s="114"/>
      <c r="M28" s="115"/>
      <c r="N28" s="202"/>
      <c r="P28" s="94"/>
      <c r="Q28" s="94"/>
    </row>
    <row r="29" spans="1:18" ht="19.95" customHeight="1">
      <c r="A29" s="370">
        <v>2</v>
      </c>
      <c r="B29" s="441" t="s">
        <v>352</v>
      </c>
      <c r="C29" s="333" t="s">
        <v>353</v>
      </c>
      <c r="D29" s="333"/>
      <c r="E29" s="639"/>
      <c r="F29" s="639"/>
      <c r="G29" s="639"/>
      <c r="H29" s="664"/>
      <c r="J29" s="140">
        <v>4</v>
      </c>
      <c r="K29" s="114"/>
      <c r="L29" s="114"/>
      <c r="M29" s="115"/>
      <c r="N29" s="202"/>
      <c r="P29" s="94"/>
      <c r="Q29" s="94"/>
    </row>
    <row r="30" spans="1:18" ht="19.95" customHeight="1">
      <c r="A30" s="370"/>
      <c r="B30" s="441"/>
      <c r="C30" s="333"/>
      <c r="D30" s="333"/>
      <c r="E30" s="639"/>
      <c r="F30" s="639"/>
      <c r="G30" s="639"/>
      <c r="H30" s="664"/>
      <c r="J30" s="165">
        <v>5</v>
      </c>
      <c r="K30" s="116"/>
      <c r="L30" s="116"/>
      <c r="M30" s="164"/>
      <c r="N30" s="202"/>
      <c r="P30" s="94"/>
      <c r="Q30" s="94"/>
    </row>
    <row r="31" spans="1:18" ht="19.95" customHeight="1">
      <c r="A31" s="370"/>
      <c r="B31" s="441"/>
      <c r="C31" s="333"/>
      <c r="D31" s="333"/>
      <c r="E31" s="639"/>
      <c r="F31" s="639"/>
      <c r="G31" s="639"/>
      <c r="H31" s="664"/>
      <c r="J31" s="92"/>
      <c r="K31" s="112"/>
      <c r="L31" s="92"/>
      <c r="M31" s="92"/>
      <c r="N31" s="201"/>
      <c r="P31" s="94"/>
      <c r="Q31" s="94"/>
    </row>
    <row r="32" spans="1:18" ht="19.95" customHeight="1">
      <c r="A32" s="140">
        <v>3</v>
      </c>
      <c r="B32" s="104" t="s">
        <v>345</v>
      </c>
      <c r="C32" s="374" t="s">
        <v>354</v>
      </c>
      <c r="D32" s="361"/>
      <c r="E32" s="148"/>
      <c r="F32" s="203"/>
      <c r="G32" s="104"/>
      <c r="H32" s="204"/>
      <c r="J32" s="348" t="s">
        <v>198</v>
      </c>
      <c r="K32" s="352" t="s">
        <v>199</v>
      </c>
      <c r="L32" s="349" t="s">
        <v>200</v>
      </c>
      <c r="M32" s="350" t="s">
        <v>201</v>
      </c>
      <c r="N32" s="202"/>
      <c r="P32" s="94"/>
      <c r="Q32" s="94"/>
    </row>
    <row r="33" spans="1:17" ht="19.95" customHeight="1">
      <c r="A33" s="205"/>
      <c r="B33" s="104"/>
      <c r="C33" s="918"/>
      <c r="D33" s="919"/>
      <c r="E33" s="148"/>
      <c r="F33" s="203"/>
      <c r="G33" s="104"/>
      <c r="H33" s="204"/>
      <c r="J33" s="643"/>
      <c r="K33" s="355"/>
      <c r="L33" s="644"/>
      <c r="M33" s="645"/>
      <c r="N33" s="202"/>
      <c r="P33" s="94"/>
      <c r="Q33" s="94"/>
    </row>
    <row r="34" spans="1:17" ht="19.95" customHeight="1">
      <c r="A34" s="205"/>
      <c r="B34" s="104"/>
      <c r="C34" s="918"/>
      <c r="D34" s="919"/>
      <c r="E34" s="148"/>
      <c r="F34" s="203"/>
      <c r="G34" s="104"/>
      <c r="H34" s="204"/>
      <c r="J34" s="370"/>
      <c r="K34" s="371"/>
      <c r="L34" s="371"/>
      <c r="M34" s="646"/>
      <c r="N34" s="202"/>
      <c r="P34" s="107"/>
      <c r="Q34" s="107"/>
    </row>
    <row r="35" spans="1:17" ht="19.95" customHeight="1">
      <c r="A35" s="205"/>
      <c r="B35" s="104"/>
      <c r="C35" s="918"/>
      <c r="D35" s="919"/>
      <c r="E35" s="148"/>
      <c r="F35" s="203"/>
      <c r="G35" s="104"/>
      <c r="H35" s="204"/>
      <c r="J35" s="370"/>
      <c r="K35" s="371"/>
      <c r="L35" s="371"/>
      <c r="M35" s="646"/>
      <c r="N35" s="202"/>
      <c r="P35" s="107"/>
      <c r="Q35" s="107"/>
    </row>
    <row r="36" spans="1:17" ht="19.95" customHeight="1">
      <c r="A36" s="205"/>
      <c r="B36" s="104"/>
      <c r="C36" s="918"/>
      <c r="D36" s="919"/>
      <c r="E36" s="148"/>
      <c r="F36" s="203"/>
      <c r="G36" s="104"/>
      <c r="H36" s="204"/>
      <c r="J36" s="370"/>
      <c r="K36" s="371"/>
      <c r="L36" s="371"/>
      <c r="M36" s="646"/>
      <c r="N36" s="202"/>
      <c r="P36" s="107"/>
      <c r="Q36" s="107"/>
    </row>
    <row r="37" spans="1:17" ht="19.95" customHeight="1">
      <c r="A37" s="205"/>
      <c r="B37" s="104"/>
      <c r="C37" s="918"/>
      <c r="D37" s="919"/>
      <c r="E37" s="148"/>
      <c r="F37" s="203"/>
      <c r="G37" s="104"/>
      <c r="H37" s="204"/>
      <c r="J37" s="370"/>
      <c r="K37" s="371"/>
      <c r="L37" s="371"/>
      <c r="M37" s="646"/>
      <c r="N37" s="202"/>
      <c r="P37" s="107"/>
      <c r="Q37" s="107"/>
    </row>
    <row r="38" spans="1:17" ht="19.95" customHeight="1">
      <c r="A38" s="205"/>
      <c r="B38" s="104"/>
      <c r="C38" s="918"/>
      <c r="D38" s="919"/>
      <c r="E38" s="148"/>
      <c r="F38" s="203"/>
      <c r="G38" s="104"/>
      <c r="H38" s="204"/>
      <c r="J38" s="643"/>
      <c r="K38" s="644"/>
      <c r="L38" s="644"/>
      <c r="M38" s="645"/>
      <c r="N38" s="202"/>
      <c r="P38" s="107"/>
      <c r="Q38" s="107"/>
    </row>
    <row r="39" spans="1:17" ht="19.95" customHeight="1">
      <c r="A39" s="205"/>
      <c r="B39" s="104"/>
      <c r="C39" s="918"/>
      <c r="D39" s="919"/>
      <c r="E39" s="148"/>
      <c r="F39" s="203"/>
      <c r="G39" s="104"/>
      <c r="H39" s="204"/>
      <c r="J39" s="643"/>
      <c r="K39" s="644"/>
      <c r="L39" s="644"/>
      <c r="M39" s="645"/>
      <c r="N39" s="202"/>
      <c r="P39" s="107"/>
      <c r="Q39" s="107"/>
    </row>
    <row r="40" spans="1:17" ht="19.95" customHeight="1">
      <c r="A40" s="205"/>
      <c r="B40" s="104"/>
      <c r="C40" s="918"/>
      <c r="D40" s="919"/>
      <c r="E40" s="148"/>
      <c r="F40" s="203"/>
      <c r="G40" s="104"/>
      <c r="H40" s="204"/>
      <c r="J40" s="643"/>
      <c r="K40" s="644"/>
      <c r="L40" s="644"/>
      <c r="M40" s="645"/>
      <c r="N40" s="202"/>
      <c r="P40" s="107"/>
      <c r="Q40" s="107"/>
    </row>
    <row r="41" spans="1:17" ht="19.95" customHeight="1">
      <c r="A41" s="205"/>
      <c r="B41" s="104"/>
      <c r="C41" s="918"/>
      <c r="D41" s="919"/>
      <c r="E41" s="148"/>
      <c r="F41" s="203"/>
      <c r="G41" s="104"/>
      <c r="H41" s="204"/>
      <c r="J41" s="723"/>
      <c r="K41" s="659"/>
      <c r="L41" s="659"/>
      <c r="M41" s="429"/>
      <c r="N41" s="202"/>
      <c r="P41" s="107"/>
      <c r="Q41" s="107"/>
    </row>
    <row r="42" spans="1:17" ht="19.95" customHeight="1">
      <c r="A42" s="205"/>
      <c r="B42" s="104"/>
      <c r="C42" s="918"/>
      <c r="D42" s="919"/>
      <c r="E42" s="148"/>
      <c r="F42" s="203"/>
      <c r="G42" s="104"/>
      <c r="H42" s="204"/>
      <c r="J42" s="92"/>
      <c r="K42" s="92"/>
      <c r="L42" s="92"/>
      <c r="M42" s="92"/>
      <c r="N42" s="202"/>
      <c r="P42" s="107"/>
      <c r="Q42" s="107"/>
    </row>
    <row r="43" spans="1:17" ht="19.95" customHeight="1">
      <c r="A43" s="205"/>
      <c r="B43" s="104"/>
      <c r="C43" s="918"/>
      <c r="D43" s="919"/>
      <c r="E43" s="148"/>
      <c r="F43" s="203"/>
      <c r="G43" s="104"/>
      <c r="H43" s="204"/>
      <c r="J43" s="348" t="s">
        <v>149</v>
      </c>
      <c r="K43" s="349"/>
      <c r="L43" s="349"/>
      <c r="M43" s="350"/>
      <c r="N43" s="202"/>
      <c r="P43" s="107"/>
      <c r="Q43" s="107"/>
    </row>
    <row r="44" spans="1:17" ht="19.95" customHeight="1">
      <c r="A44" s="205"/>
      <c r="B44" s="104"/>
      <c r="C44" s="918"/>
      <c r="D44" s="919"/>
      <c r="E44" s="148"/>
      <c r="F44" s="203"/>
      <c r="G44" s="104"/>
      <c r="H44" s="204"/>
      <c r="J44" s="612"/>
      <c r="K44" s="578"/>
      <c r="L44" s="578"/>
      <c r="M44" s="649"/>
      <c r="N44" s="202"/>
      <c r="P44" s="107"/>
      <c r="Q44" s="107"/>
    </row>
    <row r="45" spans="1:17" ht="19.95" customHeight="1">
      <c r="A45" s="205"/>
      <c r="B45" s="104"/>
      <c r="C45" s="918"/>
      <c r="D45" s="919"/>
      <c r="E45" s="148"/>
      <c r="F45" s="203"/>
      <c r="G45" s="104"/>
      <c r="H45" s="204"/>
      <c r="J45" s="734"/>
      <c r="K45" s="735"/>
      <c r="L45" s="735"/>
      <c r="M45" s="736"/>
      <c r="N45" s="202"/>
      <c r="P45" s="107"/>
      <c r="Q45" s="107"/>
    </row>
    <row r="46" spans="1:17" ht="19.95" customHeight="1">
      <c r="A46" s="205"/>
      <c r="B46" s="104"/>
      <c r="C46" s="918"/>
      <c r="D46" s="919"/>
      <c r="E46" s="148"/>
      <c r="F46" s="203"/>
      <c r="G46" s="104"/>
      <c r="H46" s="204"/>
      <c r="J46" s="734"/>
      <c r="K46" s="735"/>
      <c r="L46" s="735"/>
      <c r="M46" s="736"/>
      <c r="N46" s="202"/>
      <c r="P46" s="107"/>
      <c r="Q46" s="107"/>
    </row>
    <row r="47" spans="1:17" ht="19.95" customHeight="1">
      <c r="A47" s="205"/>
      <c r="B47" s="104"/>
      <c r="C47" s="918"/>
      <c r="D47" s="919"/>
      <c r="E47" s="148"/>
      <c r="F47" s="203"/>
      <c r="G47" s="104"/>
      <c r="H47" s="204"/>
      <c r="J47" s="734"/>
      <c r="K47" s="735"/>
      <c r="L47" s="735"/>
      <c r="M47" s="736"/>
      <c r="N47" s="202"/>
      <c r="P47" s="107"/>
      <c r="Q47" s="107"/>
    </row>
    <row r="48" spans="1:17" ht="19.95" customHeight="1">
      <c r="A48" s="206"/>
      <c r="B48" s="105"/>
      <c r="C48" s="920"/>
      <c r="D48" s="921"/>
      <c r="E48" s="194"/>
      <c r="F48" s="196"/>
      <c r="G48" s="105"/>
      <c r="H48" s="117"/>
      <c r="J48" s="755"/>
      <c r="K48" s="756"/>
      <c r="L48" s="756"/>
      <c r="M48" s="757"/>
      <c r="N48" s="202"/>
      <c r="P48" s="107"/>
      <c r="Q48" s="107"/>
    </row>
    <row r="49" spans="1:17" ht="18" customHeight="1">
      <c r="B49" s="207"/>
      <c r="C49" s="208"/>
      <c r="D49" s="208"/>
      <c r="E49" s="208"/>
      <c r="F49" s="208"/>
      <c r="G49" s="208"/>
      <c r="H49" s="208"/>
      <c r="N49" s="202"/>
      <c r="P49" s="107"/>
      <c r="Q49" s="107"/>
    </row>
    <row r="50" spans="1:17" ht="18" customHeight="1">
      <c r="A50" s="348" t="s">
        <v>355</v>
      </c>
      <c r="B50" s="349"/>
      <c r="C50" s="349"/>
      <c r="D50" s="349"/>
      <c r="E50" s="349"/>
      <c r="F50" s="349"/>
      <c r="G50" s="349"/>
      <c r="H50" s="350"/>
      <c r="I50" s="107"/>
      <c r="J50" s="351" t="s">
        <v>367</v>
      </c>
      <c r="K50" s="352"/>
      <c r="L50" s="352" t="s">
        <v>368</v>
      </c>
      <c r="M50" s="353"/>
    </row>
    <row r="51" spans="1:17" ht="18" customHeight="1">
      <c r="A51" s="643" t="s">
        <v>174</v>
      </c>
      <c r="B51" s="644"/>
      <c r="C51" s="644"/>
      <c r="D51" s="644" t="s">
        <v>356</v>
      </c>
      <c r="E51" s="644"/>
      <c r="F51" s="644" t="s">
        <v>348</v>
      </c>
      <c r="G51" s="644"/>
      <c r="H51" s="645"/>
      <c r="J51" s="354"/>
      <c r="K51" s="355"/>
      <c r="L51" s="355"/>
      <c r="M51" s="356"/>
    </row>
    <row r="52" spans="1:17" ht="18" customHeight="1">
      <c r="A52" s="370"/>
      <c r="B52" s="371"/>
      <c r="C52" s="371"/>
      <c r="D52" s="371"/>
      <c r="E52" s="371"/>
      <c r="F52" s="371"/>
      <c r="G52" s="371"/>
      <c r="H52" s="646"/>
      <c r="J52" s="354"/>
      <c r="K52" s="355"/>
      <c r="L52" s="355"/>
      <c r="M52" s="356"/>
    </row>
    <row r="53" spans="1:17" ht="18" customHeight="1">
      <c r="A53" s="370"/>
      <c r="B53" s="371"/>
      <c r="C53" s="371"/>
      <c r="D53" s="371"/>
      <c r="E53" s="371"/>
      <c r="F53" s="371"/>
      <c r="G53" s="371"/>
      <c r="H53" s="646"/>
      <c r="J53" s="354"/>
      <c r="K53" s="355"/>
      <c r="L53" s="355"/>
      <c r="M53" s="356"/>
    </row>
    <row r="54" spans="1:17" ht="18" customHeight="1">
      <c r="A54" s="405"/>
      <c r="B54" s="439"/>
      <c r="C54" s="439"/>
      <c r="D54" s="439"/>
      <c r="E54" s="439"/>
      <c r="F54" s="439"/>
      <c r="G54" s="439"/>
      <c r="H54" s="658"/>
      <c r="J54" s="357"/>
      <c r="K54" s="358"/>
      <c r="L54" s="358"/>
      <c r="M54" s="359"/>
    </row>
    <row r="57" spans="1:17">
      <c r="D57" s="402"/>
      <c r="E57" s="402"/>
      <c r="F57" s="402"/>
      <c r="G57" s="402"/>
    </row>
    <row r="58" spans="1:17">
      <c r="B58" s="338"/>
      <c r="C58" s="338"/>
      <c r="D58" s="624"/>
      <c r="E58" s="624"/>
      <c r="F58" s="624"/>
      <c r="G58" s="624"/>
    </row>
    <row r="59" spans="1:17">
      <c r="B59" s="338"/>
      <c r="C59" s="338"/>
      <c r="D59" s="624"/>
      <c r="E59" s="624"/>
      <c r="F59" s="625"/>
      <c r="G59" s="625"/>
    </row>
    <row r="60" spans="1:17">
      <c r="B60" s="338"/>
      <c r="C60" s="338"/>
      <c r="D60" s="624"/>
      <c r="E60" s="624"/>
      <c r="F60" s="626"/>
      <c r="G60" s="626"/>
    </row>
    <row r="61" spans="1:17">
      <c r="B61" s="338"/>
      <c r="C61" s="338"/>
      <c r="D61" s="624"/>
      <c r="E61" s="624"/>
      <c r="F61" s="624"/>
      <c r="G61" s="624"/>
    </row>
    <row r="62" spans="1:17">
      <c r="B62" s="338"/>
      <c r="C62" s="338"/>
      <c r="D62" s="624"/>
      <c r="E62" s="624"/>
      <c r="F62" s="624"/>
      <c r="G62" s="624"/>
    </row>
    <row r="63" spans="1:17">
      <c r="B63" s="338"/>
      <c r="C63" s="338"/>
      <c r="D63" s="624"/>
      <c r="E63" s="624"/>
      <c r="F63" s="626"/>
      <c r="G63" s="626"/>
    </row>
    <row r="64" spans="1:17">
      <c r="B64" s="338"/>
      <c r="C64" s="338"/>
      <c r="D64" s="624"/>
      <c r="E64" s="624"/>
      <c r="F64" s="626"/>
      <c r="G64" s="626"/>
    </row>
    <row r="65" spans="2:7">
      <c r="B65" s="338"/>
      <c r="C65" s="338"/>
      <c r="D65" s="624"/>
      <c r="E65" s="624"/>
      <c r="F65" s="626"/>
      <c r="G65" s="626"/>
    </row>
    <row r="66" spans="2:7">
      <c r="B66" s="338"/>
      <c r="C66" s="338"/>
      <c r="D66" s="624"/>
      <c r="E66" s="624"/>
      <c r="F66" s="632"/>
      <c r="G66" s="632"/>
    </row>
  </sheetData>
  <mergeCells count="148">
    <mergeCell ref="J52:K54"/>
    <mergeCell ref="L52:M54"/>
    <mergeCell ref="F52:H54"/>
    <mergeCell ref="L32:L33"/>
    <mergeCell ref="L34:L35"/>
    <mergeCell ref="L36:L37"/>
    <mergeCell ref="L38:L39"/>
    <mergeCell ref="L40:L41"/>
    <mergeCell ref="M32:M33"/>
    <mergeCell ref="M34:M35"/>
    <mergeCell ref="M36:M37"/>
    <mergeCell ref="M38:M39"/>
    <mergeCell ref="M40:M41"/>
    <mergeCell ref="J32:J33"/>
    <mergeCell ref="J34:J35"/>
    <mergeCell ref="J36:J37"/>
    <mergeCell ref="J38:J39"/>
    <mergeCell ref="J40:J41"/>
    <mergeCell ref="K32:K33"/>
    <mergeCell ref="K34:K35"/>
    <mergeCell ref="K36:K37"/>
    <mergeCell ref="K38:K39"/>
    <mergeCell ref="K40:K41"/>
    <mergeCell ref="B66:C66"/>
    <mergeCell ref="D66:E66"/>
    <mergeCell ref="F66:G66"/>
    <mergeCell ref="A25:A26"/>
    <mergeCell ref="A27:A28"/>
    <mergeCell ref="A29:A31"/>
    <mergeCell ref="B25:B26"/>
    <mergeCell ref="B27:B28"/>
    <mergeCell ref="B29:B31"/>
    <mergeCell ref="E27:E28"/>
    <mergeCell ref="E29:E31"/>
    <mergeCell ref="F27:F28"/>
    <mergeCell ref="F29:F31"/>
    <mergeCell ref="G25:G26"/>
    <mergeCell ref="G27:G28"/>
    <mergeCell ref="G29:G31"/>
    <mergeCell ref="C25:D26"/>
    <mergeCell ref="C27:D28"/>
    <mergeCell ref="C29:D31"/>
    <mergeCell ref="A52:C54"/>
    <mergeCell ref="D52:E54"/>
    <mergeCell ref="B63:C63"/>
    <mergeCell ref="D63:E63"/>
    <mergeCell ref="F63:G63"/>
    <mergeCell ref="B65:C65"/>
    <mergeCell ref="D65:E65"/>
    <mergeCell ref="F65:G65"/>
    <mergeCell ref="B60:C60"/>
    <mergeCell ref="D60:E60"/>
    <mergeCell ref="F60:G60"/>
    <mergeCell ref="B61:C61"/>
    <mergeCell ref="D61:E61"/>
    <mergeCell ref="F61:G61"/>
    <mergeCell ref="B62:C62"/>
    <mergeCell ref="D62:E62"/>
    <mergeCell ref="F62:G62"/>
    <mergeCell ref="D57:E57"/>
    <mergeCell ref="F57:G57"/>
    <mergeCell ref="B58:C58"/>
    <mergeCell ref="D58:E58"/>
    <mergeCell ref="F58:G58"/>
    <mergeCell ref="B59:C59"/>
    <mergeCell ref="D59:E59"/>
    <mergeCell ref="F59:G59"/>
    <mergeCell ref="B64:C64"/>
    <mergeCell ref="D64:E64"/>
    <mergeCell ref="F64:G64"/>
    <mergeCell ref="C45:D45"/>
    <mergeCell ref="J45:M45"/>
    <mergeCell ref="C46:D46"/>
    <mergeCell ref="J46:M46"/>
    <mergeCell ref="C47:D47"/>
    <mergeCell ref="J47:M47"/>
    <mergeCell ref="C48:D48"/>
    <mergeCell ref="J48:M48"/>
    <mergeCell ref="A50:H50"/>
    <mergeCell ref="J50:K51"/>
    <mergeCell ref="L50:M51"/>
    <mergeCell ref="A51:C51"/>
    <mergeCell ref="D51:E51"/>
    <mergeCell ref="F51:H51"/>
    <mergeCell ref="C37:D37"/>
    <mergeCell ref="C38:D38"/>
    <mergeCell ref="C39:D39"/>
    <mergeCell ref="C40:D40"/>
    <mergeCell ref="C41:D41"/>
    <mergeCell ref="C42:D42"/>
    <mergeCell ref="C43:D43"/>
    <mergeCell ref="J43:M43"/>
    <mergeCell ref="C44:D44"/>
    <mergeCell ref="J44:M44"/>
    <mergeCell ref="D24:E24"/>
    <mergeCell ref="G24:H24"/>
    <mergeCell ref="E25:F25"/>
    <mergeCell ref="C32:D32"/>
    <mergeCell ref="C33:D33"/>
    <mergeCell ref="C34:D34"/>
    <mergeCell ref="C35:D35"/>
    <mergeCell ref="C36:D36"/>
    <mergeCell ref="H25:H26"/>
    <mergeCell ref="H27:H28"/>
    <mergeCell ref="H29:H31"/>
    <mergeCell ref="C17:D17"/>
    <mergeCell ref="C18:D18"/>
    <mergeCell ref="C19:D19"/>
    <mergeCell ref="C20:D20"/>
    <mergeCell ref="J20:M20"/>
    <mergeCell ref="C21:D21"/>
    <mergeCell ref="J21:K21"/>
    <mergeCell ref="L21:M21"/>
    <mergeCell ref="C22:D22"/>
    <mergeCell ref="J17:K18"/>
    <mergeCell ref="J22:K23"/>
    <mergeCell ref="C23:D23"/>
    <mergeCell ref="A13:B13"/>
    <mergeCell ref="C13:G13"/>
    <mergeCell ref="H13:M13"/>
    <mergeCell ref="A15:H15"/>
    <mergeCell ref="J15:M15"/>
    <mergeCell ref="C16:E16"/>
    <mergeCell ref="F16:H16"/>
    <mergeCell ref="J16:K16"/>
    <mergeCell ref="L16:M16"/>
    <mergeCell ref="A8:B8"/>
    <mergeCell ref="C8:H8"/>
    <mergeCell ref="A10:B10"/>
    <mergeCell ref="C10:G10"/>
    <mergeCell ref="H10:M10"/>
    <mergeCell ref="A11:B11"/>
    <mergeCell ref="C11:G11"/>
    <mergeCell ref="H11:M11"/>
    <mergeCell ref="A12:B12"/>
    <mergeCell ref="C12:G12"/>
    <mergeCell ref="H12:M12"/>
    <mergeCell ref="K1:M1"/>
    <mergeCell ref="K2:M2"/>
    <mergeCell ref="K3:M3"/>
    <mergeCell ref="A5:B5"/>
    <mergeCell ref="C5:H5"/>
    <mergeCell ref="A6:B6"/>
    <mergeCell ref="C6:H6"/>
    <mergeCell ref="A7:B7"/>
    <mergeCell ref="C7:H7"/>
    <mergeCell ref="A1:B3"/>
    <mergeCell ref="C1:J3"/>
  </mergeCells>
  <conditionalFormatting sqref="C22:C23">
    <cfRule type="duplicateValues" dxfId="11" priority="7" stopIfTrue="1"/>
    <cfRule type="duplicateValues" dxfId="10" priority="8" stopIfTrue="1"/>
    <cfRule type="duplicateValues" dxfId="9" priority="9" stopIfTrue="1"/>
    <cfRule type="duplicateValues" dxfId="8" priority="10" stopIfTrue="1"/>
    <cfRule type="duplicateValues" dxfId="7" priority="11" stopIfTrue="1"/>
    <cfRule type="duplicateValues" dxfId="6" priority="12" stopIfTrue="1"/>
  </conditionalFormatting>
  <conditionalFormatting sqref="C24">
    <cfRule type="duplicateValues" dxfId="5" priority="1" stopIfTrue="1"/>
    <cfRule type="duplicateValues" dxfId="4" priority="2" stopIfTrue="1"/>
    <cfRule type="duplicateValues" dxfId="3" priority="3" stopIfTrue="1"/>
    <cfRule type="duplicateValues" dxfId="2" priority="4" stopIfTrue="1"/>
    <cfRule type="duplicateValues" dxfId="1" priority="5" stopIfTrue="1"/>
    <cfRule type="duplicateValues" dxfId="0" priority="6" stopIfTrue="1"/>
  </conditionalFormatting>
  <printOptions horizontalCentered="1"/>
  <pageMargins left="0.23622047244094499" right="0.23611111111111099" top="0.35416666666666702" bottom="0.31458333333333299" header="0.31496062992126" footer="0.31496062992126"/>
  <pageSetup paperSize="9" scale="7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23</vt:i4>
      </vt:variant>
    </vt:vector>
  </HeadingPairs>
  <TitlesOfParts>
    <vt:vector size="46" baseType="lpstr">
      <vt:lpstr>In</vt:lpstr>
      <vt:lpstr>Tráng</vt:lpstr>
      <vt:lpstr>Dán</vt:lpstr>
      <vt:lpstr>Thổi</vt:lpstr>
      <vt:lpstr>May</vt:lpstr>
      <vt:lpstr>Chia biên 1</vt:lpstr>
      <vt:lpstr>Ghép 1</vt:lpstr>
      <vt:lpstr>Bồi 1</vt:lpstr>
      <vt:lpstr>X</vt:lpstr>
      <vt:lpstr>Đóng gói 1</vt:lpstr>
      <vt:lpstr>May 1</vt:lpstr>
      <vt:lpstr>Thổi 1</vt:lpstr>
      <vt:lpstr>Dán 1</vt:lpstr>
      <vt:lpstr>Tráng 1</vt:lpstr>
      <vt:lpstr>In 1</vt:lpstr>
      <vt:lpstr>XX</vt:lpstr>
      <vt:lpstr>In 2</vt:lpstr>
      <vt:lpstr>Chia biên 2</vt:lpstr>
      <vt:lpstr>Tráng 2</vt:lpstr>
      <vt:lpstr>Dán 2</vt:lpstr>
      <vt:lpstr>Thổi 2</vt:lpstr>
      <vt:lpstr>May 2</vt:lpstr>
      <vt:lpstr>Đóng gói 2</vt:lpstr>
      <vt:lpstr>'Bồi 1'!Print_Area</vt:lpstr>
      <vt:lpstr>'Chia biên 1'!Print_Area</vt:lpstr>
      <vt:lpstr>'Chia biên 2'!Print_Area</vt:lpstr>
      <vt:lpstr>Dán!Print_Area</vt:lpstr>
      <vt:lpstr>'Dán 1'!Print_Area</vt:lpstr>
      <vt:lpstr>'Dán 2'!Print_Area</vt:lpstr>
      <vt:lpstr>'Đóng gói 1'!Print_Area</vt:lpstr>
      <vt:lpstr>'Đóng gói 2'!Print_Area</vt:lpstr>
      <vt:lpstr>'Ghép 1'!Print_Area</vt:lpstr>
      <vt:lpstr>In!Print_Area</vt:lpstr>
      <vt:lpstr>'In 1'!Print_Area</vt:lpstr>
      <vt:lpstr>'In 2'!Print_Area</vt:lpstr>
      <vt:lpstr>May!Print_Area</vt:lpstr>
      <vt:lpstr>'May 1'!Print_Area</vt:lpstr>
      <vt:lpstr>'May 2'!Print_Area</vt:lpstr>
      <vt:lpstr>Thổi!Print_Area</vt:lpstr>
      <vt:lpstr>'Thổi 1'!Print_Area</vt:lpstr>
      <vt:lpstr>'Thổi 2'!Print_Area</vt:lpstr>
      <vt:lpstr>Tráng!Print_Area</vt:lpstr>
      <vt:lpstr>'Tráng 1'!Print_Area</vt:lpstr>
      <vt:lpstr>'Tráng 2'!Print_Area</vt:lpstr>
      <vt:lpstr>X!Print_Area</vt:lpstr>
      <vt:lpstr>XX!Print_Area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Nguyen Quan</cp:lastModifiedBy>
  <cp:lastPrinted>2026-03-02T06:14:08Z</cp:lastPrinted>
  <dcterms:created xsi:type="dcterms:W3CDTF">2021-08-27T13:03:00Z</dcterms:created>
  <dcterms:modified xsi:type="dcterms:W3CDTF">2026-07-17T03:58:15Z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6D575391127442409DA3AA215EAD291A_12</vt:lpwstr>
  </property>
  <property fmtid="{D5CDD505-2E9C-101B-9397-08002B2CF9AE}" pid="3" name="KSOProductBuildVer">
    <vt:lpwstr>1033-12.2.0.17562</vt:lpwstr>
  </property>
</Properties>
</file>